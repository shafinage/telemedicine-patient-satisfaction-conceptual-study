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337a78654482b06f/Desktop/portfolio/GitHub/telemedicine-patient-satisfaction-conceptual-study/data/"/>
    </mc:Choice>
  </mc:AlternateContent>
  <xr:revisionPtr revIDLastSave="11" documentId="8_{D5FC1B16-85B4-4EA8-8A83-913D38829EA2}" xr6:coauthVersionLast="47" xr6:coauthVersionMax="47" xr10:uidLastSave="{2E2BCF8E-FD49-498B-ACAE-973FE39FAFE3}"/>
  <bookViews>
    <workbookView xWindow="-108" yWindow="-108" windowWidth="23256" windowHeight="12456" xr2:uid="{BCE31475-E814-4971-BF8A-B4DAABD48080}"/>
  </bookViews>
  <sheets>
    <sheet name="Sheet1" sheetId="1" r:id="rId1"/>
    <sheet name="frequency" sheetId="3" r:id="rId2"/>
    <sheet name="factors patient satisfaction" sheetId="2" r:id="rId3"/>
  </sheets>
  <definedNames>
    <definedName name="_xlnm._FilterDatabase" localSheetId="1" hidden="1">frequency!$D$4:$AC$46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5" i="3" l="1"/>
  <c r="BE5" i="3"/>
  <c r="BF5" i="3"/>
  <c r="BD6" i="3"/>
  <c r="BE6" i="3"/>
  <c r="BF6" i="3"/>
  <c r="BD7" i="3"/>
  <c r="BE7" i="3"/>
  <c r="BF7" i="3"/>
  <c r="BD8" i="3"/>
  <c r="BE8" i="3"/>
  <c r="BF8" i="3"/>
  <c r="BD9" i="3"/>
  <c r="BE9" i="3"/>
  <c r="BF9" i="3"/>
  <c r="BD10" i="3"/>
  <c r="BE10" i="3"/>
  <c r="BF10" i="3"/>
  <c r="BD11" i="3"/>
  <c r="BE11" i="3"/>
  <c r="BF11" i="3"/>
  <c r="BD12" i="3"/>
  <c r="BE12" i="3"/>
  <c r="BF12" i="3"/>
  <c r="BD13" i="3"/>
  <c r="BE13" i="3"/>
  <c r="BF13" i="3"/>
  <c r="AE20" i="3"/>
  <c r="AE21" i="3"/>
  <c r="AE22" i="3"/>
  <c r="AE23" i="3"/>
  <c r="AE24" i="3"/>
  <c r="AE25" i="3"/>
  <c r="AE26" i="3"/>
  <c r="AE27" i="3"/>
  <c r="AE19" i="3"/>
  <c r="AF20" i="3"/>
  <c r="AG20" i="3"/>
  <c r="AH20" i="3"/>
  <c r="AJ20" i="3"/>
  <c r="AK20" i="3"/>
  <c r="AM20" i="3"/>
  <c r="AN20" i="3"/>
  <c r="AP20" i="3"/>
  <c r="AQ20" i="3"/>
  <c r="AR20" i="3"/>
  <c r="AS20" i="3"/>
  <c r="AT20" i="3"/>
  <c r="AU20" i="3"/>
  <c r="AW20" i="3"/>
  <c r="AX20" i="3"/>
  <c r="AY20" i="3"/>
  <c r="AZ20" i="3"/>
  <c r="BA20" i="3"/>
  <c r="BC20" i="3"/>
  <c r="AF21" i="3"/>
  <c r="AG21" i="3"/>
  <c r="AH21" i="3"/>
  <c r="AJ21" i="3"/>
  <c r="AK21" i="3"/>
  <c r="AM21" i="3"/>
  <c r="AN21" i="3"/>
  <c r="AP21" i="3"/>
  <c r="BF21" i="3" s="1"/>
  <c r="AQ21" i="3"/>
  <c r="AR21" i="3"/>
  <c r="AS21" i="3"/>
  <c r="AT21" i="3"/>
  <c r="AU21" i="3"/>
  <c r="AW21" i="3"/>
  <c r="AX21" i="3"/>
  <c r="AY21" i="3"/>
  <c r="AZ21" i="3"/>
  <c r="BA21" i="3"/>
  <c r="BC21" i="3"/>
  <c r="AF22" i="3"/>
  <c r="AG22" i="3"/>
  <c r="AH22" i="3"/>
  <c r="AJ22" i="3"/>
  <c r="AK22" i="3"/>
  <c r="AM22" i="3"/>
  <c r="AN22" i="3"/>
  <c r="AP22" i="3"/>
  <c r="AQ22" i="3"/>
  <c r="AR22" i="3"/>
  <c r="AS22" i="3"/>
  <c r="AT22" i="3"/>
  <c r="AU22" i="3"/>
  <c r="AW22" i="3"/>
  <c r="AX22" i="3"/>
  <c r="AY22" i="3"/>
  <c r="AZ22" i="3"/>
  <c r="BA22" i="3"/>
  <c r="BC22" i="3"/>
  <c r="AF23" i="3"/>
  <c r="AG23" i="3"/>
  <c r="BF23" i="3" s="1"/>
  <c r="AH23" i="3"/>
  <c r="AJ23" i="3"/>
  <c r="AK23" i="3"/>
  <c r="AM23" i="3"/>
  <c r="AN23" i="3"/>
  <c r="AP23" i="3"/>
  <c r="AQ23" i="3"/>
  <c r="AR23" i="3"/>
  <c r="AS23" i="3"/>
  <c r="AT23" i="3"/>
  <c r="AU23" i="3"/>
  <c r="AW23" i="3"/>
  <c r="AX23" i="3"/>
  <c r="AY23" i="3"/>
  <c r="AZ23" i="3"/>
  <c r="BA23" i="3"/>
  <c r="BC23" i="3"/>
  <c r="AF24" i="3"/>
  <c r="AG24" i="3"/>
  <c r="AH24" i="3"/>
  <c r="AJ24" i="3"/>
  <c r="AK24" i="3"/>
  <c r="AM24" i="3"/>
  <c r="AN24" i="3"/>
  <c r="BE24" i="3" s="1"/>
  <c r="AP24" i="3"/>
  <c r="AQ24" i="3"/>
  <c r="AR24" i="3"/>
  <c r="AS24" i="3"/>
  <c r="AT24" i="3"/>
  <c r="AU24" i="3"/>
  <c r="AW24" i="3"/>
  <c r="AX24" i="3"/>
  <c r="AY24" i="3"/>
  <c r="AZ24" i="3"/>
  <c r="BA24" i="3"/>
  <c r="BC24" i="3"/>
  <c r="AF25" i="3"/>
  <c r="AG25" i="3"/>
  <c r="AH25" i="3"/>
  <c r="AJ25" i="3"/>
  <c r="AK25" i="3"/>
  <c r="AM25" i="3"/>
  <c r="AN25" i="3"/>
  <c r="AP25" i="3"/>
  <c r="AQ25" i="3"/>
  <c r="AR25" i="3"/>
  <c r="AS25" i="3"/>
  <c r="AT25" i="3"/>
  <c r="AU25" i="3"/>
  <c r="AW25" i="3"/>
  <c r="AX25" i="3"/>
  <c r="AY25" i="3"/>
  <c r="AZ25" i="3"/>
  <c r="BA25" i="3"/>
  <c r="BC25" i="3"/>
  <c r="AF26" i="3"/>
  <c r="AG26" i="3"/>
  <c r="AH26" i="3"/>
  <c r="AJ26" i="3"/>
  <c r="AK26" i="3"/>
  <c r="AM26" i="3"/>
  <c r="AN26" i="3"/>
  <c r="AP26" i="3"/>
  <c r="AQ26" i="3"/>
  <c r="AR26" i="3"/>
  <c r="AS26" i="3"/>
  <c r="AT26" i="3"/>
  <c r="AU26" i="3"/>
  <c r="AW26" i="3"/>
  <c r="AX26" i="3"/>
  <c r="AY26" i="3"/>
  <c r="AZ26" i="3"/>
  <c r="BA26" i="3"/>
  <c r="BC26" i="3"/>
  <c r="AF27" i="3"/>
  <c r="AG27" i="3"/>
  <c r="AH27" i="3"/>
  <c r="AJ27" i="3"/>
  <c r="AK27" i="3"/>
  <c r="AM27" i="3"/>
  <c r="AN27" i="3"/>
  <c r="AP27" i="3"/>
  <c r="AQ27" i="3"/>
  <c r="AR27" i="3"/>
  <c r="AS27" i="3"/>
  <c r="AT27" i="3"/>
  <c r="AU27" i="3"/>
  <c r="AW27" i="3"/>
  <c r="AX27" i="3"/>
  <c r="AY27" i="3"/>
  <c r="AZ27" i="3"/>
  <c r="BA27" i="3"/>
  <c r="BC27" i="3"/>
  <c r="AG19" i="3"/>
  <c r="AH19" i="3"/>
  <c r="AJ19" i="3"/>
  <c r="AK19" i="3"/>
  <c r="AM19" i="3"/>
  <c r="AN19" i="3"/>
  <c r="AP19" i="3"/>
  <c r="AQ19" i="3"/>
  <c r="AR19" i="3"/>
  <c r="AS19" i="3"/>
  <c r="AT19" i="3"/>
  <c r="AU19" i="3"/>
  <c r="AW19" i="3"/>
  <c r="AX19" i="3"/>
  <c r="AY19" i="3"/>
  <c r="AZ19" i="3"/>
  <c r="BA19" i="3"/>
  <c r="BC19" i="3"/>
  <c r="AF19" i="3"/>
  <c r="BE21" i="3"/>
  <c r="BD21" i="3"/>
  <c r="AC6" i="3"/>
  <c r="AC44" i="3"/>
  <c r="AC43" i="3"/>
  <c r="AC42" i="3"/>
  <c r="AC41" i="3"/>
  <c r="AC40" i="3"/>
  <c r="AC39" i="3"/>
  <c r="AC38" i="3"/>
  <c r="AC37" i="3"/>
  <c r="AC36" i="3"/>
  <c r="AC35" i="3"/>
  <c r="AC34" i="3"/>
  <c r="AC33" i="3"/>
  <c r="AC32" i="3"/>
  <c r="AC31" i="3"/>
  <c r="AC30" i="3"/>
  <c r="AC29" i="3"/>
  <c r="AC28" i="3"/>
  <c r="AC27" i="3"/>
  <c r="AC26" i="3"/>
  <c r="AC23" i="3"/>
  <c r="AC25" i="3"/>
  <c r="AC24" i="3"/>
  <c r="AC22" i="3"/>
  <c r="AC21" i="3"/>
  <c r="AC16" i="3"/>
  <c r="AC20" i="3"/>
  <c r="AC19" i="3"/>
  <c r="AC15" i="3"/>
  <c r="AC14" i="3"/>
  <c r="AC18" i="3"/>
  <c r="AC17" i="3"/>
  <c r="AC13" i="3"/>
  <c r="AC12" i="3"/>
  <c r="AC11" i="3"/>
  <c r="AC10" i="3"/>
  <c r="AC9" i="3"/>
  <c r="AC8" i="3"/>
  <c r="AC7" i="3"/>
  <c r="AC5" i="3"/>
  <c r="BF24" i="3" l="1"/>
  <c r="BD23" i="3"/>
  <c r="BE23" i="3"/>
  <c r="BD24" i="3"/>
  <c r="BF26" i="3"/>
  <c r="BE27" i="3"/>
  <c r="BD25" i="3"/>
  <c r="BF27" i="3"/>
  <c r="BE20" i="3"/>
  <c r="BD20" i="3"/>
  <c r="BF20" i="3"/>
  <c r="BD27" i="3"/>
  <c r="BF25" i="3"/>
  <c r="BE26" i="3"/>
  <c r="BE25" i="3"/>
  <c r="BD26" i="3"/>
</calcChain>
</file>

<file path=xl/sharedStrings.xml><?xml version="1.0" encoding="utf-8"?>
<sst xmlns="http://schemas.openxmlformats.org/spreadsheetml/2006/main" count="909" uniqueCount="463">
  <si>
    <t>No.</t>
  </si>
  <si>
    <t>Name of Author</t>
  </si>
  <si>
    <t>Title of Publication</t>
  </si>
  <si>
    <t>Objective</t>
  </si>
  <si>
    <t>Variables</t>
  </si>
  <si>
    <t>Methodology</t>
  </si>
  <si>
    <t>Data Analysis</t>
  </si>
  <si>
    <t>Dependent</t>
  </si>
  <si>
    <t>Independent</t>
  </si>
  <si>
    <t>Moderating</t>
  </si>
  <si>
    <t>Mediating</t>
  </si>
  <si>
    <t>No</t>
  </si>
  <si>
    <t>Title</t>
  </si>
  <si>
    <t>https://meddocsonline.org/annals-of-community-medicine-and-primary-health-care/characteristic-of-patients-attending-virtualClinics-and-their-feedbacks-during-covid-19-pandemic-a-malaysian-urban-private-healthcare-experience.pdf</t>
  </si>
  <si>
    <t xml:space="preserve">Patient Preference and Satisfaction with the Use of Telemedicine for Glycemic Control in Patients with Type 2 Diabetes: A Review </t>
  </si>
  <si>
    <r>
      <rPr>
        <sz val="11"/>
        <rFont val="Calibri"/>
        <family val="2"/>
        <scheme val="minor"/>
      </rPr>
      <t>Factors Affecting Patients' Acceptance of and Satisfaction with Cloud-Based Telehealth for Chronic Disease Management: A Case Study in the Workplace</t>
    </r>
    <r>
      <rPr>
        <sz val="11"/>
        <color theme="1"/>
        <rFont val="Calibri"/>
        <family val="2"/>
        <scheme val="minor"/>
      </rPr>
      <t xml:space="preserve"> </t>
    </r>
  </si>
  <si>
    <t xml:space="preserve">Attitude as Main Mediating Factor Towards Acceptance of Telemedicine in Improved TAM Model </t>
  </si>
  <si>
    <t>file:///C:/Users/shafi/OneDrive/Desktop/2021_EllyLee_ELLYLEE-MP-2021.pdf</t>
  </si>
  <si>
    <t xml:space="preserve">Factors Affecting Patient Perceptions and Satisfaction with Telemedicine in Outpatient Clinics </t>
  </si>
  <si>
    <t>https://www.ncbi.nlm.nih.gov/pmc/articles/PMC8673882/</t>
  </si>
  <si>
    <t xml:space="preserve">Assessment of Patient Preferences for Telehealth in Post–COVID-19 Pandemic Health Care </t>
  </si>
  <si>
    <t>https://jamanetwork.com/journals/jamanetworkopen/fullarticle/2786700</t>
  </si>
  <si>
    <t xml:space="preserve">Assessing the Availability of Teleconsultation and the Extent of Its Use in Malaysian Public Primary Care Clinics: Cross-sectional Study </t>
  </si>
  <si>
    <t>https://formative.jmir.org/2022/5/e34485</t>
  </si>
  <si>
    <t xml:space="preserve">Patient Perceptions of Telehealth Primary Care Video Visits </t>
  </si>
  <si>
    <t>https://www.annfammed.org/content/15/3/225</t>
  </si>
  <si>
    <t xml:space="preserve">Attitudes and perceptions of outpatients towards adoption of telemedicine in healthcare during COVID-19 pandemic </t>
  </si>
  <si>
    <t>https://link.springer.com/article/10.1007/s11845-021-02729-6</t>
  </si>
  <si>
    <t xml:space="preserve">Perceptions of Adult Patients Accessing Telehealth in an Urban Medical Group </t>
  </si>
  <si>
    <t>https://scholarworks.sjsu.edu/cgi/viewcontent.cgi?article=1104&amp;context=etd_doctoral</t>
  </si>
  <si>
    <t xml:space="preserve">Implementation and Patient Satisfaction of Telemedicine in Spine Physical Medicine and Rehabilitation Patients During the COVID-19 Shutdown </t>
  </si>
  <si>
    <t>https://journals.lww.com/ajpmr/Fulltext/2020/12000/Implementation_and_Patient_Satisfaction_of.1.aspx</t>
  </si>
  <si>
    <t xml:space="preserve">Patient Satisfaction with Telemedicine during the COVID-19 Pandemic—A Systematic Review </t>
  </si>
  <si>
    <t>https://www.ncbi.nlm.nih.gov/pmc/articles/PMC9140408/#:~:text=88%25%20of%20patients%20agreed%20that,%2Dperson%20visits%20%5B56%5D.</t>
  </si>
  <si>
    <t xml:space="preserve">Patient Satisfaction and Trust in Telemedicine During the COVID-19 Pandemic: Retrospective Observational Study </t>
  </si>
  <si>
    <t xml:space="preserve">A Review of Patient Satisfaction and Experience with Telemedicine: A Virtual Solution During and Beyond COVID-19 Pandemic </t>
  </si>
  <si>
    <t>https://www.liebertpub.com/doi/10.1089/tmj.2020.0570</t>
  </si>
  <si>
    <t>Conclusion</t>
  </si>
  <si>
    <t>Limitation</t>
  </si>
  <si>
    <t xml:space="preserve">Study On Potential Factors Of Patient Satisfaction: Based On Exploratory Factor Analysis </t>
  </si>
  <si>
    <t>https://www.dovepress.com/study-on-potential-factors-of-patient-satisfaction-based-on-explorator-peer-reviewed-fulltext-article-PPA</t>
  </si>
  <si>
    <t xml:space="preserve">Patients’ satisfaction with quality of care in general hospitals in Ebonyi State, Nigeria, using SERVQUAL theory </t>
  </si>
  <si>
    <t>https://journals.sagepub.com/doi/10.1177/2050312120945129</t>
  </si>
  <si>
    <t xml:space="preserve">Patient safety, satisfaction, and quality of hospital care: cross sectional surveys of nurses and patients in 12 countries in Europe and the United States </t>
  </si>
  <si>
    <t>https://www.bmj.com/content/344/bmj.e1717</t>
  </si>
  <si>
    <t xml:space="preserve">What is the most important factor affecting patient satisfaction – a study based on gamma coefficient </t>
  </si>
  <si>
    <t>https://www.ncbi.nlm.nih.gov/pmc/articles/PMC6489650/</t>
  </si>
  <si>
    <t xml:space="preserve">Factors affecting patient satisfaction and healthcare quality </t>
  </si>
  <si>
    <t>https://www.researchgate.net/publication/26784552_Factors_affecting_patient_satisfaction_and_healthcare_quality</t>
  </si>
  <si>
    <t xml:space="preserve">Patient Satisfaction in Malaysia’s Busiest Outpatient Medical Care </t>
  </si>
  <si>
    <t>https://www.hindawi.com/journals/tswj/2015/714754/</t>
  </si>
  <si>
    <t xml:space="preserve">FACTORS AFFECTING OUTPATIENTS' SATISFACTIONAT AT UNIVERSITY KEBANGSAAN MALAYSIA MEDICAL CENTRE (UKMMC) </t>
  </si>
  <si>
    <t>https://www.researchgate.net/publication/279178295_FACTORS_AFFECTING_OUTPATIENTS'_SATISFACTIONAT_AT_UNIVERSITY_KEBANGSAAN_MALAYSIA_MEDICAL_CENTRE_UKMMC</t>
  </si>
  <si>
    <t>A Cross-Sectional Study on Patient Satisfaction with Universiti Kebangsaan Malaysia Medical Centre (UKMMC) Primary Care Clinic</t>
  </si>
  <si>
    <t>https://www.medicineandhealthukm.com/sites/medicineandhealthukm.com/files/article/2013/02-MS138%20(12-23)_0.pdf</t>
  </si>
  <si>
    <t>Patient Satisfaction and Hospital Quality of Care Evaluation in Malaysia Using SERVQUAL and Facebook</t>
  </si>
  <si>
    <t>https://www.mdpi.com/2227-9032/9/10/1369/htm</t>
  </si>
  <si>
    <t>Patients’ satisfaction with healthcare services providers and its determinants in the urban family physician program in Iran: A crosssectional study</t>
  </si>
  <si>
    <t>https://e-mfp.org/wp-content/uploads/OAPatients-satisfaction-with-healthcare.pdf</t>
  </si>
  <si>
    <t>An Exploratory Study on the Factors that Influence Patient Satisfaction and Its Impact on Patient Loyalty</t>
  </si>
  <si>
    <t>http://www.ijimt.org/vol6/598-BM00007.pdf</t>
  </si>
  <si>
    <t>A Systematic Review of Patient Satisfaction on Health Information Exchange in Malaysian Public Healthcare Organizations</t>
  </si>
  <si>
    <t>https://iopscience.iop.org/article/10.1088/1742-6596/1049/1/012024/pdf</t>
  </si>
  <si>
    <t>Measuring the Influence of Service Quality on Patient Satisfaction in Malaysia</t>
  </si>
  <si>
    <t>https://www.tandfonline.com/doi/abs/10.1080/10686967.2019.1615852?journalCode=uqmj20</t>
  </si>
  <si>
    <t>PATIENTS’ SATISFACTION TOWARDS THE HEALTHCARE INSTITUTIONS SERVICE QUALITY: A COMPARISON BETWEEN PUBLIC AND PRIVATE HOSPITALS IN KLANG VALLEY</t>
  </si>
  <si>
    <t>http://eprints.utar.edu.my/3420/1/KANG_AIK_JOO_17UKM04913_project_report.pdf</t>
  </si>
  <si>
    <t>LINKING SERVICE QUALITY, PATIENTS’ SATISFACTION AND BEHAVIORAL INTENTIONS: AN INVESTIGATION ON PRIVATE HEALTHCARE IN MALAYSIA</t>
  </si>
  <si>
    <t>https://cyberleninka.org/article/n/658321/viewer</t>
  </si>
  <si>
    <t>The Relationship of Nurses’ Professional Commitment with Patient Safety and Patient Satisfaction at a Malaysian University Teaching Hospital</t>
  </si>
  <si>
    <t>https://medic.upm.edu.my/upload/dokumen/2022031418365208_MJMHS_0205.pdf</t>
  </si>
  <si>
    <t>Factors Influencing Patient Satisfaction with Healthcare Services Offered in Selected Public Hospitals in Bulawayo, Zimbabwe</t>
  </si>
  <si>
    <t>https://openpublichealthjournal.com/VOLUME/14/PAGE/181/</t>
  </si>
  <si>
    <t>file:///C:/Users/shafi/OneDrive/Desktop/2021_Fadhullah_fadhullah%20(1).pdf</t>
  </si>
  <si>
    <t>FACTORS INFLUENCING MEDICAL SERVICES QUALITY ON PATIENT SATISFACTION TOWARDS LOYALTY</t>
  </si>
  <si>
    <t>Factors Influencing Customer Satisfaction in Health care services: The Case of Public and Private Hospitals in North Cyprus</t>
  </si>
  <si>
    <t>http://i-rep.emu.edu.tr:8080/xmlui/bitstream/handle/11129/1993/EfutebaCatherine.pdf?sequence=1</t>
  </si>
  <si>
    <t>Impact of Telemedicine on Patient Satisfaction and Perceptions of Care Quality in Radiation Oncology</t>
  </si>
  <si>
    <t>https://jnccn.org/view/journals/jnccn/19/10/article-p1174.xml?ArticleBodyColorStyles=abstract%20%2F%20extract</t>
  </si>
  <si>
    <t>https://www.ajmc.com/view/patient-and-clinician-experiences-with-telehealth-for-patient-followup-care</t>
  </si>
  <si>
    <t>Patient and Clinician Experiences With Telehealth for Patient Follow-up Care</t>
  </si>
  <si>
    <t>Patient-Related Factors Influencing Satisfaction in the Patient-Doctor Encounters at the General Outpatient Clinic of the University of Calabar Teaching Hospital, Calabar, Nigeria</t>
  </si>
  <si>
    <t>https://www.researchgate.net/publication/225276759_Patient-Related_Factors_Influencing_Satisfaction_in_the_Patient-Doctor_Encounters_at_the_General_Outpatient_Clinic_of_the_University_of_Calabar_Teaching_Hospital_Calabar_Nigeria</t>
  </si>
  <si>
    <t>Patient Satisfaction Surveys: How Strategies Equal Solutions</t>
  </si>
  <si>
    <t>https://www.driveresearch.com/market-research-company-blog/how-to-conduct-a-patient-satisfaction-survey-healthcare-market-research-company/</t>
  </si>
  <si>
    <t>Telehealth Visits After Shoulder Surgery: Higher Patient Satisfaction and Lower Costs</t>
  </si>
  <si>
    <t>https://journals.lww.com/jaaosglobal/Fulltext/2022/07000/Telehealth_Visits_After_Shoulder_Surgery__Higher.5.aspx?context=LatestArticles</t>
  </si>
  <si>
    <t>Ong Wei Chi; Edwin Tan; Wong Sok Yee; Wee Tong Ming; Soo Chun Ian; Nurul Yaqeen Mohd Esa</t>
  </si>
  <si>
    <t>determine demographic characteristic and feedback of patients attended teleconsultation</t>
  </si>
  <si>
    <t>Characteristic of Patients Attending Virtual
Clinics and their Feedbacks during Covid-19
Pandemic: A Malaysian Urban Private Health
Care Experience</t>
  </si>
  <si>
    <t>only Sunmed and SMCV and does not
represent general view of all Malaysians toward teleconsultation, selection bias (only patients who are technological literate and have access to telecommunications technology and internet availability)</t>
  </si>
  <si>
    <t>Recommendation/Future Research</t>
  </si>
  <si>
    <t>patient-doctor relationship established without face-to-face interaction, perception of healthcare provider to tele-medicine, cost-effectiveness,quality of care and health outcome delivered by telemedicine</t>
  </si>
  <si>
    <t>high satisfaction to usefulness, not experienced much difficulties in learning, very few agreement on virtual visit providing similar care to in-person visit</t>
  </si>
  <si>
    <t>determine the availability and the extent of teleconsultation in Malaysian primary care clinics</t>
  </si>
  <si>
    <t>Sock Wen Ng, MD; Wen Yea Hwong, PhD; Masliyana Husin, MBChB; Norazida Ab Rahman, MSc; Nazrila Hairizan Nasir, MSc; Kawselyah Juval, MPH; Sheamini Sivasampu, MPH</t>
  </si>
  <si>
    <t>telephone consultation is more widely used than video consultation, despite a quarter of its funding being self-subsidized or obtained through donations, teleconsultation was less utilized by allied health care providers and pharmacists</t>
  </si>
  <si>
    <t>expansion of teleconsultation in Malaysian primary health care</t>
  </si>
  <si>
    <t>it's only a descriptive cross-sectional study, and it is not possible to determine the causality of the findings; our study only involved public primary care clinics; and only examined synchronous teleconsultation between health care providers and patients; so the findings are only relevant to this target population</t>
  </si>
  <si>
    <t>Ruth Sim; Shaun Wen Huey Lee</t>
  </si>
  <si>
    <t>https://www.ncbi.nlm.nih.gov/pmc/articles/PMC7882448/</t>
  </si>
  <si>
    <t>collate and provide evidence related to practices that may influence the performance of telemedicine for patients with type 2 diabetes</t>
  </si>
  <si>
    <t>Round the clock access and monitoring; Access to different healthcare providers; Time-saving</t>
  </si>
  <si>
    <t>further expand to explore the views and preferences of patients from different sociodemographic groups on management of type 2 diabetes, work on a standardized patient satisfaction rubric for telemedicine, and examine how these indicators may change over time with technological advancements;focus on the economic aspect of adopting telemedicine</t>
  </si>
  <si>
    <t>possibilities of selection bias; not attempt to stratify patient satisfaction and preference based on different age groups and socioeconomic factors; measurement methods for patient satisfaction were largely heterogenous, compounded by different stakeholders’ interest, thereby limiting comparison across studies</t>
  </si>
  <si>
    <t>Yung-Yu Su; Su-Tsai Huang;, Ying-Hsun Wu; Chun-Min Chen</t>
  </si>
  <si>
    <t>https://www.ncbi.nlm.nih.gov/pmc/articles/PMC7159983/</t>
  </si>
  <si>
    <t>Understanding patients' acceptance of and satisfaction with telehealth use is important for workplace health promotion</t>
  </si>
  <si>
    <t>Education and empowerment,
Support team, Flexibility, mHealth the choice, 
Physician endorsement</t>
  </si>
  <si>
    <t>patients' preference</t>
  </si>
  <si>
    <t>patients’ satisfaction</t>
  </si>
  <si>
    <t xml:space="preserve"> satisfaction with cloud-based telehealth services in the workplace</t>
  </si>
  <si>
    <t>quantitative</t>
  </si>
  <si>
    <t>SA Abdulwahab; HS Zedan</t>
  </si>
  <si>
    <t>understand factors affecting patient perceptions and satisfaction with telemedicine services</t>
  </si>
  <si>
    <t>descriptive</t>
  </si>
  <si>
    <t>satisfaction</t>
  </si>
  <si>
    <t>Those with stable internet connection had significantly higher satisfaction rates, significantly higher in Cardiology and Orthopaedic clinics</t>
  </si>
  <si>
    <t>Larger multi-center studies examining other factors affecting patients’ satisfaction</t>
  </si>
  <si>
    <t>Zachary S. Predmore, PhD; Elizabeth Roth, MA; Joshua Breslau, PhD, ScD</t>
  </si>
  <si>
    <t>ascertain patient preferences for video visits after the ongoing COVID-19 public health emergency and to identify patient perceptions of the value of video visits and the role of out-of-pocket cost in changing patient preference for each visit modality</t>
  </si>
  <si>
    <t>participants were generally willing to use video visits but preferred in-person care, and those who preferred video visits were more sensitive to paying out-of-pocket cost</t>
  </si>
  <si>
    <t>preference</t>
  </si>
  <si>
    <t>unable to conduct a full willingness-to-pay analysis; Respondents may be unfamiliar with making choices between hypothetical options; limited in what demographic data were available from the American Life Panel; respondents may have certain health conditions that make video visits more or less feasible</t>
  </si>
  <si>
    <t>Rhea E. Powell, Jeffrey M. Henstenburg, Grace Cooper, Judd E. Hollander and Kristin L. Rising</t>
  </si>
  <si>
    <t>describe patient experiences with video visits performed with their established primary care clinicians</t>
  </si>
  <si>
    <t>Patients identified convenience, efficiency, communication, privacy, and comfort as domains that are potentially important to consider when assessing video visits vs in-person encounters</t>
  </si>
  <si>
    <t>explore which patients and conditions are best suited for video visits.</t>
  </si>
  <si>
    <t>Nithesh Naik, Sufyan Ibrahim, Sumedha Sircar, Vathsala Patil, Belthangady Monu Zeeshan Hameed, Bhavan Prasad Rai, Piotr Chłosta &amp; Bhaskar K. Somani</t>
  </si>
  <si>
    <t xml:space="preserve"> understand the behavioral attitude and perceptions of the population regarding telemedicine and, in doing so, make services more user-friendly for patients</t>
  </si>
  <si>
    <t>Understanding the perceptions of patients, using targeted health education, positive communication, and behavioral modifications, is the key factor to be addressed to mitigate the apprehensions towards telemedicine and improve the utilization of the services</t>
  </si>
  <si>
    <t>less representation from the elderly population; Responses in the study were from people who could answer the survey online and those with access to the internet and well versed with technology</t>
  </si>
  <si>
    <t>Bhuva, Sheena MD; Lankford, Craig MD; Patel, Nayan MD; Haddas, Ram PhD</t>
  </si>
  <si>
    <t xml:space="preserve"> investigate the implementation and patient satisfaction of telemedicine visits in a physical medicine and rehabilitation spine practice during COVID-19</t>
  </si>
  <si>
    <t>appointment type,Follow-up procedure,technical problems</t>
  </si>
  <si>
    <t>small sample size and a sampling bias, no comparison group was available</t>
  </si>
  <si>
    <t>physical medicine and rehabilitation physicians to continue expanding patient access in the postpandemic world, stratification of telemedicine in comparison to the traditional face-to-face visit</t>
  </si>
  <si>
    <t>Karolina Pogorzelska and Slawomir Chlabicz</t>
  </si>
  <si>
    <t>Telemedicine is undoubtedly a convenient tool that has helped maintain continuity of medical care during the COVID-19 pandemic thanks to its considerable potential. In particular situations, telehealth may adequately replace face-to-face consultation</t>
  </si>
  <si>
    <t>satisfaction rate, Willingness to Use Telemedicine in the Future,</t>
  </si>
  <si>
    <t>Sharon Orrange, Arpna Patel, Wendy Jean Mack, Julia Cassetta</t>
  </si>
  <si>
    <t>examine correlates of patients' satisfaction with a telemedicine visit.</t>
  </si>
  <si>
    <t>patient satisfaction</t>
  </si>
  <si>
    <t>https://www.ncbi.nlm.nih.gov/pmc/articles/PMC8103305/</t>
  </si>
  <si>
    <t>Their satisfaction is shaped by the degree of trust in physician and visit-related factors more so than patient factors</t>
  </si>
  <si>
    <t>further research into visit-related factors and the patient-provider connection over telemedicine is needed</t>
  </si>
  <si>
    <t>no comparison to in-person visit satisfaction during the same period or before the pandemic,bias toward respondents with higher digital literacy.study population was less ethnically and racially diverse,respondents were significantly older than our nonresponders</t>
  </si>
  <si>
    <t>Aashima, Mehak Nanda, and Rajesh Sharma</t>
  </si>
  <si>
    <t xml:space="preserve"> reviews the studies examining patients' perspective toward telemedicine and their preference for virtual health care services</t>
  </si>
  <si>
    <t>literarure review</t>
  </si>
  <si>
    <t>Long-term sustainability of telemedicine for all socioeconomic classes requires closer scrutiny of issues such as technology, training, reimbursement, data privacy, legal guidelines, and framework. Telemedicine must be adopted as a proactive strategy and scaled-up even beyond emergency usage due to its immense potential in complementing conventional health care services, such as diagnosis, treatment, follow-up, surveillance, and infection control.</t>
  </si>
  <si>
    <t>travel time and waiting time, better accessibility, convenience, and cost efficiency</t>
  </si>
  <si>
    <t>O'Donnell, Evan A. MD; Haberli, Jillian E. BS; Martinez, Andres Muniz MD; Yagoda, Daniel BS, MPH; Kaplan, Robert S. PhD; Warner, Jon J. P. MD</t>
  </si>
  <si>
    <t xml:space="preserve"> (1) to compare the cost of telemedicine visits with in-person clinic visits after common shoulder surgeries, (2) to measure the safety, and (3) to evaluate patient experience with telemedicine visits.</t>
  </si>
  <si>
    <t>cross-sectional study</t>
  </si>
  <si>
    <t>Virtual visits for routine postoperative care of patients undergoing shoulder surgery are associated with decreased costs and high ratings of convenience and satisfaction</t>
  </si>
  <si>
    <t>biases may persist between the in-person and virtual visit practices,not analyze the time for routine imaging postoperatively, thus may not be generalizable for all routine follow-up care,cost rates used to tabulate patient-specific costing were derived from publicly available national wage averages and not directly from employee data,no comparative analysis offered for patient satisfaction or perceived safety for in-person visits because in-person visits were thought to be the benchmark for care.</t>
  </si>
  <si>
    <t>determine satisfaction, quality of care, and opportunities for optimization patient from their experience with telemedicine in routine radiation oncology practice</t>
  </si>
  <si>
    <t xml:space="preserve"> Narek Shaverdian MD, Erin F. Gillespie MD, Elaine Cha BS, Soo Young Kim MS, Stephanie Benvengo MS, Fumiko Chino MD, Jung Julie Kang MD, PhD, Yuelin Li PhD, Thomas M. Atkinson PhD, Nancy Lee MD, Charles M. Washington PhD, Oren Cahlon MD, and Daniel R. Gomez MD</t>
  </si>
  <si>
    <t xml:space="preserve"> high patient satisfaction and confidence in their care. Optimization of telemedicine in oncology should be a priority, specifically access to audiovisual capabilities that can improve patient–oncologist communication</t>
  </si>
  <si>
    <t>understanding of the treatment plan and confidence in their treatment,</t>
  </si>
  <si>
    <t>satisfaction, preference</t>
  </si>
  <si>
    <t>selection bias, populations are not equivalent</t>
  </si>
  <si>
    <t>Karen Donelan, ScD, EdM, Esteban A. Barreto, MA, Sarah Sossong, MPH, Carie Michael, SM, Juan J. Estrada, MSc, MBA, Adam B. Cohen, MD, Janet Wozniak, MD, Lee H. Schwamm, MD</t>
  </si>
  <si>
    <t>Understanding the perceived value of different modes of care</t>
  </si>
  <si>
    <t xml:space="preserve"> participants selected by their clinicians based on their suitability, as determined during prior office visits as established patients; do not fully reflect the challenges or opportunities of using VVVs in primary care settings</t>
  </si>
  <si>
    <t xml:space="preserve"> initial experiences for patients and clinicians were positive and that, for most encounters, these VVVs are just as clinically effective and less expensive for both patient and provider compared with in-person visits</t>
  </si>
  <si>
    <t>improved models to compensate clinicians, to measure and define the appropriate mix of virtual and office visits, and to understand the role of other modes of care; test different provider compensation models to measure and define the appropriate mix of virtual, office, and other modes of care and to establish appropriateness criteria for the use of telehealth encounters</t>
  </si>
  <si>
    <t>patients and clinicians expeience</t>
  </si>
  <si>
    <t>intention of use</t>
  </si>
  <si>
    <t>Sampling</t>
  </si>
  <si>
    <t>quota sampling</t>
  </si>
  <si>
    <t xml:space="preserve"> satisfaction</t>
  </si>
  <si>
    <t>usefulness, ease of use and learnability, interface quality, interaction quality, reliability, demographic characteristics,</t>
  </si>
  <si>
    <t>systematic literature screeing on specific criteria; satisfaction and preference toward telemedicine among patients with type 2 diabetes</t>
  </si>
  <si>
    <t xml:space="preserve">Personalized telemedicine strategies coupled with appropriate physician endorsement greatly influences a patient’s decision to undertake telemedicine. </t>
  </si>
  <si>
    <t>concerns over their privacy and confidentiality, education, inconsistency of service quality, poor communication, cost of diagnositc devices</t>
  </si>
  <si>
    <t>questionnaires, focus group interview, surveys, interviews</t>
  </si>
  <si>
    <t>cross-sectional survey, TUQ via Whatsapp with 7-point Likert scale</t>
  </si>
  <si>
    <t>purposive sampling; chronic disease; metabolic syndrome and diabetes</t>
  </si>
  <si>
    <t>subjetive norm, image, job, output quality, result demonstrability</t>
  </si>
  <si>
    <t>usage behaviour, intention of use</t>
  </si>
  <si>
    <t>cross-sectional, revised TAM2</t>
  </si>
  <si>
    <t>Perceived ease of use, Perceived usefulness, experince,</t>
  </si>
  <si>
    <t xml:space="preserve">user satisfaction can be predicted by examining UB, because it indicates that the participants who actually repeatedly use the telehealth system find it to be effective. Because the behavior of patients can be affected by their intentions, to effectively predict user satisfaction, one needs to consider not only the actual use but also the underlying intent of each user with respect to their experiences. </t>
  </si>
  <si>
    <t>small sample, with participants selected from two technology companies and without a control group from the community or hospital</t>
  </si>
  <si>
    <t>collect physiological data at different time periods and evaluate the results by conducting repeated-measure analyses or control-group selection to verify the effects of this care on chronic disease management. Moreover, further studies could evaluate whether such a system is successful at promoting self-management in patients with chronic diseases</t>
  </si>
  <si>
    <t>Elly Lee</t>
  </si>
  <si>
    <t>investigate the relationship between factors percieved usefulness, percieved ease of use, and attitude towards the intention to use telemedicine</t>
  </si>
  <si>
    <t>attitude</t>
  </si>
  <si>
    <t>quantitative, TAM</t>
  </si>
  <si>
    <t>random sampling</t>
  </si>
  <si>
    <t>startified random sampling</t>
  </si>
  <si>
    <t>percieved usefulness, percieved ease of use, patient-physician relationship</t>
  </si>
  <si>
    <t>only one type of study population because this hospital was the only one that has the telemedcine service</t>
  </si>
  <si>
    <t>collect data from more hospitals to identify more accurate feedback in the attitude and behavorial intention of telemedicine. In-depth research on which forms of attitude would influence the behavorial intention</t>
  </si>
  <si>
    <t>attitufe plays an mportant role in the determinant of acceptance of the telemedical serevices</t>
  </si>
  <si>
    <t>cross-sectional, modified TSQ + PSQ-18</t>
  </si>
  <si>
    <t>quality of care, similarity to face-to-face encounters, perception of the interaction</t>
  </si>
  <si>
    <t>235 respondents</t>
  </si>
  <si>
    <t xml:space="preserve"> type of medical specialty, internet stability, type of telemedicine,gender</t>
  </si>
  <si>
    <t>relatively small sample, only carried out in 1 healthcare facility</t>
  </si>
  <si>
    <t>210 repondents</t>
  </si>
  <si>
    <t>103 respondents</t>
  </si>
  <si>
    <t>20 articles</t>
  </si>
  <si>
    <t>150 respondents</t>
  </si>
  <si>
    <t>2080 respondent</t>
  </si>
  <si>
    <t>quota sampling,  generated through a raking process using the demographic data of participants (sex, age, race and ethnicity, educational level, household income, and number of household members)</t>
  </si>
  <si>
    <t>quantitative, survey</t>
  </si>
  <si>
    <t>age, family income, race, Education level,</t>
  </si>
  <si>
    <t>Although improving the delivery of telehealth is important, it is only part of the story. Awareness of patient preferences will help to identify telehealth’s role in postpandemic health care delivery.</t>
  </si>
  <si>
    <t>availability of the service, types of services</t>
  </si>
  <si>
    <t>249 clinics</t>
  </si>
  <si>
    <t>internet access,area</t>
  </si>
  <si>
    <t>funding,cost</t>
  </si>
  <si>
    <t>19 participants</t>
  </si>
  <si>
    <t>descriptive, conventional content analysis</t>
  </si>
  <si>
    <t>technical aspect, convenience, wait time,personal feel,privacy,</t>
  </si>
  <si>
    <t>sampling frame was limited to patients within 2 practices in 1 health system, patients with longer interview delays may have had difficulties remembering details of their visit</t>
  </si>
  <si>
    <t>perceptions of patients, behavorial attitude</t>
  </si>
  <si>
    <t>1170 respondents</t>
  </si>
  <si>
    <t>more work needs to be done for telemedicine reimbursements and claims to be made more straightforward and accessible</t>
  </si>
  <si>
    <t>Katharine Shepherd West</t>
  </si>
  <si>
    <t>learn about perceptions of adult patients in an urban setting when telehealth
options are available</t>
  </si>
  <si>
    <t>21 patients</t>
  </si>
  <si>
    <t>grounded theory methodology</t>
  </si>
  <si>
    <t>perception</t>
  </si>
  <si>
    <t xml:space="preserve"> Scheduling, distance, convenience, technical aspect</t>
  </si>
  <si>
    <t>urgency,knowledge</t>
  </si>
  <si>
    <t xml:space="preserve">patients are very deliberate about seeking
healthcare, weighing the options anew each time a healthcare concern exceeds
their own ability to manage it themselves.patients determine the urgency of their need, filter the
current need through their memory of previous healthcare encounters, and weigh
various options such as scheduling or traffic, the “hassle factors”, before arriving
at a decision to pursue a telehealth encounter or not. </t>
  </si>
  <si>
    <t>the setting and participants of this study
may not be generalizable to other types of medical practices or populations,
whether urban or rural, in this country or other countries. possible recall bias</t>
  </si>
  <si>
    <t xml:space="preserve"> identify how periodic educational reinforcement impacts both patient usage and staff support of telehealth. t address
how the consumer brand experience from marketing applies to telehealth</t>
  </si>
  <si>
    <t xml:space="preserve"> Distance , physician contribution, technical problems</t>
  </si>
  <si>
    <t>172 respondents</t>
  </si>
  <si>
    <t xml:space="preserve">telemedicine can provide very effective and satisfactory care in a physical medicine and rehabilitation spine practice. This was especially notable with follow-up visits where imaging and treatment plan can easily be discussed over telemedicine.Stay-at-home orders and improved reimbursement during the COVID-19 pandemic have spurred adoption of telemedicine with high patient satisfaction. </t>
  </si>
  <si>
    <t>satisfaction,  preference</t>
  </si>
  <si>
    <t>random sampling from patients seen via PR&amp;M spine telemedicine during the COVID-19 lockdown</t>
  </si>
  <si>
    <t xml:space="preserve">effectiveness of this modality and patient satisfaction with telemedicine </t>
  </si>
  <si>
    <t>systematic lit review</t>
  </si>
  <si>
    <t>53 papers</t>
  </si>
  <si>
    <t xml:space="preserve"> usability,Patient Clinical Needs;  Technical Aspects, Time Save,cost save,  missed appontment rate</t>
  </si>
  <si>
    <t>most of the research was conducted in a single clinic, where patients were treated by a few doctors.</t>
  </si>
  <si>
    <t xml:space="preserve"> Regular patient feedback is necessary to improve the use of telemedicine in the future.</t>
  </si>
  <si>
    <t>368 respondents</t>
  </si>
  <si>
    <t>25 articles</t>
  </si>
  <si>
    <t>patients' satisfaction, preferemce</t>
  </si>
  <si>
    <t>addressing patients' concerns, communication with  providers, usefulness, and reliability, technical challanges</t>
  </si>
  <si>
    <t>experience of providers is an equally important metric and can be an area of future research</t>
  </si>
  <si>
    <t>qualitative, TDABC methodology</t>
  </si>
  <si>
    <t>experience, satisfaction</t>
  </si>
  <si>
    <t>cost, convenience, safety, duration, technological aspect</t>
  </si>
  <si>
    <t>24 for in visit and 25 fot virtual visit</t>
  </si>
  <si>
    <t>the application of this technology in relation of physical examination and diagnostics.</t>
  </si>
  <si>
    <t>confidence in their physician, appointment,logistics, patient-physician interaction</t>
  </si>
  <si>
    <t>postpandemic studies assessing telemedicine perceptions will be necessary to confirm our findings. Additionally, studies focusing on diverse patient populations and qualitative data less prone to the ceiling effect are necessary.</t>
  </si>
  <si>
    <t>quantitaive, questionnaire</t>
  </si>
  <si>
    <t>1077 patients</t>
  </si>
  <si>
    <t>254 patients,61 physicians</t>
  </si>
  <si>
    <t>efficiency, communication; personal connection,visit quality,technology,cost,</t>
  </si>
  <si>
    <t>willingness to pay for virtual visit,</t>
  </si>
  <si>
    <t>quantitative, questionnaires</t>
  </si>
  <si>
    <t>x</t>
  </si>
  <si>
    <t>accessibility</t>
  </si>
  <si>
    <t>convenience</t>
  </si>
  <si>
    <t>service quality</t>
  </si>
  <si>
    <t>patient preference</t>
  </si>
  <si>
    <t>technical aspect</t>
  </si>
  <si>
    <t>A17</t>
  </si>
  <si>
    <t>A16</t>
  </si>
  <si>
    <t>A15</t>
  </si>
  <si>
    <t>A14</t>
  </si>
  <si>
    <t>A13</t>
  </si>
  <si>
    <t>A12</t>
  </si>
  <si>
    <t>A11</t>
  </si>
  <si>
    <t>A10</t>
  </si>
  <si>
    <t>A9</t>
  </si>
  <si>
    <t>A8</t>
  </si>
  <si>
    <t>A7</t>
  </si>
  <si>
    <t>A6</t>
  </si>
  <si>
    <t>A5</t>
  </si>
  <si>
    <t>A4</t>
  </si>
  <si>
    <t>A3</t>
  </si>
  <si>
    <t>A2</t>
  </si>
  <si>
    <t>A1</t>
  </si>
  <si>
    <t>check again</t>
  </si>
  <si>
    <t>sum</t>
  </si>
  <si>
    <t>Patients’ Perceptions and Satisfaction with the Outpatient
Telemedicine Clinics during COVID-19 Era in Saudi Arabia:
A Cross-Sectional Study</t>
  </si>
  <si>
    <t>file:///C:/Users/shafi/OneDrive/Desktop/healthcare-09-01739.pdf</t>
  </si>
  <si>
    <t>Ashokkumar Thirunavukkarasu, Nasser Hanas Alotaibi, Ahmad Homoud Al-Hazmi,
Mohammed Jayed Alenzi, Ziad Mansour Alshaalan, Mohammed Ghazi Alruwaili, Thamer Alshami Marghel Alruwaili, Hassan Alanazi and Turki Hanas Alosaimi</t>
  </si>
  <si>
    <t>assess patients’ perceptions of, and factors
associated with, poor and average satisfaction with the outpatient telemedicine clinics in the Kingdom of Saudi Arabia (KSA)</t>
  </si>
  <si>
    <t>consecutive sampling</t>
  </si>
  <si>
    <t>convenience, time saved, availability, technical difficulties,personal feel</t>
  </si>
  <si>
    <t>a multicenter, exploratory study that compares the virtual outpatient clinic
with other telemedicine services provided by the MOH, KSA is warranted.</t>
  </si>
  <si>
    <t>this cross-sectional study attempted to find only association, not causation</t>
  </si>
  <si>
    <t>more than half of the participants had high satisfaction
with outpatient telemedicine clinics. This study depicted several socio-demographic factors
associated with poor and average patient satisfaction. Even though the patients perceived
some disadvantages, technical issues was the major disadvantage faced by them. Most of
the participants desired to use telemedicine services even after the COVID-19 pandemic.</t>
  </si>
  <si>
    <t>Patient Perceptions and Preferences Regarding Telemedicine for Autoimmune Rheumatic Diseases Care During the COVID-19 Pandemic</t>
  </si>
  <si>
    <t>https://onlinelibrary.wiley.com/doi/10.1002/acr.24860</t>
  </si>
  <si>
    <t>Maria I. Danila,Kelly Gavigan,Esteban Rivera,W. Benjamin Nowell,Michael D. George,Jeffrey R. Curtis,Lisa Christopher-Stein,Shubhasree Banerjee,Peter A. Merkel,Kalen Young,Dianne G. Shaw,Jennifer Gordon,Shilpa Venkatachalam</t>
  </si>
  <si>
    <t>assess the perceptions and preferences of telemedicine among patients with autoimmune rheumatic diseases during the COVID-19 pandemic.</t>
  </si>
  <si>
    <t>720 patients</t>
  </si>
  <si>
    <t>819 on both patienets who in- and experienced telemedicine</t>
  </si>
  <si>
    <t xml:space="preserve"> address best practices for delivering care remotely. For example, for video visits, expanding access to high-speed internet, defining the appropriate audiovisual equipment needed (computer versus smartphone), visit setting (in-home versus a facility close to a patient's home), environmental characteristics (e.g., a quiet and well-lit space), and training of patients and medical teams on how to participate in and guide with physical examination</t>
  </si>
  <si>
    <t>surveyed members of an online community of patients with rheumatic diseases, and hence, they may be more comfortable with using technology compared to patients who are not active online.</t>
  </si>
  <si>
    <t>during the COVID-19 pandemic, patients with autoimmune rheumatic diseases that were members of an online patient community frequently had telemedicine visits, with the majority held via video, and were satisfied with these visits. Patient preference for telemedicine versus in-office visits depended on the reasons for a visit, past experiences with telemedicine, and attitudes about different types of telemedicine visits.</t>
  </si>
  <si>
    <t>satisfaction, perception,experience</t>
  </si>
  <si>
    <t>Evaluating patient perceptions of quality of care through telemedicine during the COVID-19 pandemic</t>
  </si>
  <si>
    <t>https://bcmj.org/articles/evaluating-patient-perceptions-quality-care-through-telemedicine-during-covid-19-pandemic</t>
  </si>
  <si>
    <t>Azzra Mangalji, MD Prabhjot Chahal, MD Abhiram Cherukupalli, MD, MHSc</t>
  </si>
  <si>
    <t>explore patients’ perceptions of their quality of care due to the implementation of telemedicine at the start of COVID-19 pandemic</t>
  </si>
  <si>
    <t>Given that patients likely have variable risk tolerance during the pandemic and can often choose whether they prefer a telemedicine appointment over an in-person consultation, there is a risk of bias that those who opt for telemedicine start at a place of greater satisfaction. Those patients are very likely to be the same ones who are comfortable with using digital technologies.</t>
  </si>
  <si>
    <t xml:space="preserve">While many patients in our study preferred in-person visits (54.9%), 32.3% had no preference, and patients rated telemedicine appointments as being equivalent to in-person visits for most of their care. </t>
  </si>
  <si>
    <t>426 patients</t>
  </si>
  <si>
    <t>Improving access to marginalized communities should be addressed in conjunction with improving convenience and privacy for patients and developing billing, workflow integration, and electronic health record interoperability for physicians.</t>
  </si>
  <si>
    <t>tehcnical aspect, convenience, efficiency, safety, time,service quality</t>
  </si>
  <si>
    <t>Exploring Adult Patients’ Perceptions and Experiences of  Telemedicine  Consultations  in  Primary  Care:  A  Qualitative Systematic Review</t>
  </si>
  <si>
    <t>https://ijms.info/IJMS/article/view/1363/1703</t>
  </si>
  <si>
    <t>Jack Allen</t>
  </si>
  <si>
    <t xml:space="preserve">explore  the  perceptions  and  experiences  of  adults  who  have  used  telemedicine  consultations  in  primary  care.  </t>
  </si>
  <si>
    <t>potential  benefits,  potential  barriers,  and  beneficial  prerequisites  for  telemedicine consultations  in  primary  care</t>
  </si>
  <si>
    <t>10 articles</t>
  </si>
  <si>
    <t>accessibility and convenience, lack of face-to-face interaction and impersonal consultations, and continuity of care</t>
  </si>
  <si>
    <t>qualiatative, comprehensive approach</t>
  </si>
  <si>
    <t>https://www.ncbi.nlm.nih.gov/pmc/articles/PMC5353817/</t>
  </si>
  <si>
    <t>Evaluation of patient and doctor perception toward the use of telemedicine in Apollo Tele Health Services, India</t>
  </si>
  <si>
    <t>Rajesh V. Acharya and Jasuma J. Rai</t>
  </si>
  <si>
    <t>122 participants (71 patients and 51 doctors)</t>
  </si>
  <si>
    <t>significant proportion of patients in these remote locations could be productively managed with some advice and guidance from specialists and super-specialists in the cities and towns with the help of telemedicine.</t>
  </si>
  <si>
    <t xml:space="preserve">four main recommendations for practice can be made that are: to utilize continuity of care, offer both video and telephone consultations, provide adequate support, and that healthcare professionals should demonstrate an explicit understanding of the patient’s health issues. </t>
  </si>
  <si>
    <t xml:space="preserve">exploring patient perceptions and experiences of telemedicine consultations in primary care led to the identification of key benefits of telemedicine consultations that need to  be promoted and protected, barriers that  should be addressed for successful long-term implementation, and beneficial prerequisites for a better patient experience
</t>
  </si>
  <si>
    <t xml:space="preserve">the responses of the questionnaire were prone to respondent bias; the results were limited to one group in each phase of the study. </t>
  </si>
  <si>
    <t>Studies with larger sample size and different groups comparing telemedicine care to face to face patient care could be performed.</t>
  </si>
  <si>
    <t>evaluate the effects of telemedicine on patients and medical specialists.</t>
  </si>
  <si>
    <t>Patients’ Perception of Telemedicine in a Large Urban Inner-City Emergency Department: A Cross-Sectional Survey</t>
  </si>
  <si>
    <t>Eric Sechrist, Fanglong Dong, Carol Lee, Kaitlin Chon, Arianna Neeki, Lori Winston, Rodney Borger, and Michael M Neeki</t>
  </si>
  <si>
    <t>https://www.ncbi.nlm.nih.gov/pmc/articles/PMC7681748/</t>
  </si>
  <si>
    <t>174 patients</t>
  </si>
  <si>
    <t>wilingness to try telemedicine</t>
  </si>
  <si>
    <t>With widespread access to smartphones with internet connectivity and pressing demands for healthcare services, telemedicine may provide a potential solution to low acuity medical care needs.</t>
  </si>
  <si>
    <t>assess patients’ perceptions of a telemedicine system in a large, urban inner-city ED with a primarily low socioeconomic status. Furthermore, this study intends to identify some perceived barriers to the effective implementation of telemedicine in an urban ED.</t>
  </si>
  <si>
    <t xml:space="preserve"> limited generalizability for higher socioeconomic demographics and those with private insurance. </t>
  </si>
  <si>
    <t xml:space="preserve">explore the effects of income and insurance coverage in relation to user preferences of telemedicine. </t>
  </si>
  <si>
    <t>technological aspect,internet,time,convenience</t>
  </si>
  <si>
    <t>Perceptions of Telehealth vs In-Person Visits Among Older Adults With Advanced Kidney Disease, Care Partners, and Clinicians</t>
  </si>
  <si>
    <t>Keren Ladin, PhD, MSc; Thalia Porteny, PhD, MSc; Julia M. Perugini; Kristina M. Gonzales, BS; Kate E. Aufort, BS; Sarah K. Levine, BA; John B. Wong, MD; Tamara Isakova, MD; Dena Rifkin, MD; Elisa J. Gordon, PhD, MPH; Ana Rossi, MD; Susan Koch-Weser, ScD; Daniel E. Weiner, MD, MS</t>
  </si>
  <si>
    <t>https://jamanetwork.com/journals/jamanetworkopen/fullarticle/2786901</t>
  </si>
  <si>
    <t xml:space="preserve"> lower satisfaction was associated with telehealth among older patients with lower socioeconomic status and among patients identifying as Black, Hispanic, and Native American. Drawbacks to telehealth included care quality concerns because of limited physical examination and laboratory tests and loss of social connection, while benefits included convenience, greater care partner engagement, and clinicians’ understanding of patients’ home environment</t>
  </si>
  <si>
    <t>identify patient, care partner, and nephrologists’ perceptions of the patient-centeredness, benefits, drawbacks of telehealth compared to in-person visits.</t>
  </si>
  <si>
    <t xml:space="preserve">qualitative, semistructured interviews </t>
  </si>
  <si>
    <t>60 participants (19 clinicians, 30 patients, and 11 care partners)</t>
  </si>
  <si>
    <t>recall bias and underrepresentation of Hispanic patients and non-English speakers, populations highly vulnerable and disproportionately affected by COVID-19 and CKD.</t>
  </si>
  <si>
    <t>further examining the impact of perceived and experienced discrimination is important, as patients of color in our sample consistently expressed dissatisfaction and mistrust associated with telehealth encounters</t>
  </si>
  <si>
    <t>A18</t>
  </si>
  <si>
    <t>A19</t>
  </si>
  <si>
    <t>A20</t>
  </si>
  <si>
    <t>A21</t>
  </si>
  <si>
    <t>A22</t>
  </si>
  <si>
    <t>A23</t>
  </si>
  <si>
    <t>A24</t>
  </si>
  <si>
    <t>Year</t>
  </si>
  <si>
    <t xml:space="preserve">Descriptive, SPSS, For demographics characteristics, categorical variables were evaluated using counts
and percentages. Meanwhile, mean, standard deviation, minimum, and maximum were measured for continuous variables.
With respect to patient feedback on their virtual visit, average
score for each items, each section in TUQ and total average
score were calculated. </t>
  </si>
  <si>
    <t>literarure search; affinity matrix  for satisfaction and preference</t>
  </si>
  <si>
    <t>descriptive, path analysis SPSS</t>
  </si>
  <si>
    <t>descriptive, SPSS, for categorical variables using counts and percentages, as no numerical variables were included in the dataset. Chi-square testing was use for comparison of categorical variables</t>
  </si>
  <si>
    <t>descriptive, SAS/STAT software,  descriptive statistics (counts, means, SEs) and cross-tabulated frequencies and percentages. We used Rao-Scott χ2 tests for bivariate comparisons of in-person or video visit preferences by demographic variables (sex, age, race and ethnicity, educational level, family income, urbanicity, and previous use of video visits) and for adjusted logistic regression analyses of binary outcomes of telehealth preferences after the COVID-19 pandemic by demographic variables (sex, age, race and ethnicity, educational level, family income, urbanicity, and previous use of video visits). Missing data were limited (&lt;1% of all variables) and likely random; entries with missing values were dropped from the adjusted analyses.</t>
  </si>
  <si>
    <t>Descriptive, Rstudio, continuous variables presented as the mean, median, SD, or IQR, while categorical variables were presented as frequencies and percentages</t>
  </si>
  <si>
    <t>purposive sampling</t>
  </si>
  <si>
    <t>qualitative, semistructured, in-depth interviews</t>
  </si>
  <si>
    <t>cluster sampling, all MOH public clinics categorized as Types I, II, and III</t>
  </si>
  <si>
    <t>descriptive, SPSS, Multivariate analysis, Frequencies and percentages through descriptive analysis of all the answers were described. Mean with 95% confidence interval was calculated to quantify different variables of attitude towards telemedicine</t>
  </si>
  <si>
    <t>qualitative, semistructures open-ended individual interviews</t>
  </si>
  <si>
    <t>snowball sampling,</t>
  </si>
  <si>
    <t>quantitative, cross sectional study,  web-based survey on general population</t>
  </si>
  <si>
    <t>convenbience sampling</t>
  </si>
  <si>
    <t xml:space="preserve"> descriptive, SPSS; using frequency (percent) for categorical variables and mean (standard deviation) for continuous variables.</t>
  </si>
  <si>
    <t>prospective cohort, survey questionnaires</t>
  </si>
  <si>
    <t>literarture review</t>
  </si>
  <si>
    <t>literature screebing in pubmed and googke scholar</t>
  </si>
  <si>
    <t>quantitative, retrospective observational study, survey, Trust in Physician Scale</t>
  </si>
  <si>
    <t>retrospective observational study, descriptive, Associations of patient- and visit-related factors with Trust in Physician score and patient satisfaction used Spearman rank-order correlation, linear regression, and ordinal logistic regression (ordinal patient satisfaction dependent variable). Patient- and visit-related factors found in a linear regression analysis to be associated with the Trust in Physician score were included as independent variables to obtain an estimate and test of the adjusted association of trust with satisfaction with the telemedicine encounter.</t>
  </si>
  <si>
    <t>descriptive, Chi square analysis compared the distribution of procedure type. Average cost and duration of virtual visits and in-person visits were compared with the Student two-tailed t-test.</t>
  </si>
  <si>
    <t>pooled cohort, purposive sampling</t>
  </si>
  <si>
    <t>descriptive, R 3.5.2, Patient characteristics and survey responses for office visit and telemedicine consultation patients were compared using chi-square or Fisher exact test. Logistic regression was used to identify patient and encounter variables, associated with (1) an office visit overall preference (vs telemedicine or no preference), (2) improved treatment understanding with an office visit (vs telemedicine or no preference), and (3) concern that COVID-19 would impact the success of treatment. The telemedicine on-treatment management visit experience was assessed in patients who received radiotherapy (RT) after a telemedicine consultation. In patients with multiple on-treatment visits, longitudinal changes in survey responses were determined using the paired Wilcoxon and the Friedman test</t>
  </si>
  <si>
    <t>random/stratified sampling,</t>
  </si>
  <si>
    <t>descriptive, SPSS, subgroup comparisons within patient and clinician populations use χ2 or t test comparisons as indicated, and analyses comparing patient and clinician responses utilize 2-sample t tests of the difference in proportions</t>
  </si>
  <si>
    <t>quantitative,cross se3ctional, TMPQ</t>
  </si>
  <si>
    <t xml:space="preserve">SAS and R, To summarize the data, we used the mean ± SD for continuous variables, and frequencies and proportions for categorical variables. We built a multinomial logistic regression model evaluating preference for telemedicine (phone or video) versus in-office visit for multiple different clinical scenarios (i.e., routine visit, disease flare, reviewing test results, discussing medication side effects, discussing a new problem, changing medications, and starting a new injectable medication). </t>
  </si>
  <si>
    <t>single-centre propective study, mix, online survey</t>
  </si>
  <si>
    <t>descriptive and non parametric, Satisfaction parameters were averaged and subjected to Wilcoxon signed-rank testing between the telemedicine and in-person cohorts</t>
  </si>
  <si>
    <t>cross sectional, questionnairs</t>
  </si>
  <si>
    <t>descriptive, STATA, Data were analyzed in terms of frequency percentages and parametric statistics like a mean and standard deviation</t>
  </si>
  <si>
    <t>cross sectional, prospective, questionnaires</t>
  </si>
  <si>
    <t>descriptive, SAS, frequencies and proportions for categorical variables. Chi-square analysis was conducted to assess the association between various variables (including demographic variables and access to technology) and willingness to try telemedicine. All statistical analyses were two-sided.</t>
  </si>
  <si>
    <t>Nvivo,  Iterative deliberation produced a consensus about coding discrepancies and emergent codes.30 The team refined the codebook and independently recoded the original 10 interviews and 6 additional transcripts. Codes were clarified and organized into categories through a consensus process to encompass the range and variability of subthemes and to characterize confirmatory and contradictory narratives. Following thematic analysis, researchers further analyzed commonalities and differences in opinions and experiences of telehealth by patient self-reported race and ethnicity.</t>
  </si>
  <si>
    <t>personal feel</t>
  </si>
  <si>
    <t>internet,interface,visual,audio</t>
  </si>
  <si>
    <t>d</t>
  </si>
  <si>
    <t>mo</t>
  </si>
  <si>
    <t>i</t>
  </si>
  <si>
    <t>me</t>
  </si>
  <si>
    <t>time,cost</t>
  </si>
  <si>
    <t xml:space="preserve">type of cilinical need. </t>
  </si>
  <si>
    <t>Technical aspect</t>
  </si>
  <si>
    <t>quality of care.  lack of formality, personal feel, age, language,</t>
  </si>
  <si>
    <t>Technical challanges, convenience,</t>
  </si>
  <si>
    <t>Mo</t>
  </si>
  <si>
    <t>Me</t>
  </si>
  <si>
    <t>I</t>
  </si>
  <si>
    <t>similarity to f2f interaction</t>
  </si>
  <si>
    <t>Patient Satisfaction</t>
  </si>
  <si>
    <t>Convenience</t>
  </si>
  <si>
    <t>Technical Aspect</t>
  </si>
  <si>
    <t>Patient Preference</t>
  </si>
  <si>
    <t>Service Quality</t>
  </si>
  <si>
    <t>Accessibility</t>
  </si>
  <si>
    <t>Similarity to f2f Interaction</t>
  </si>
  <si>
    <t>Intention of Use</t>
  </si>
  <si>
    <t>Interaction Quality</t>
  </si>
  <si>
    <t>Privacy Concern</t>
  </si>
  <si>
    <t>Scheduling</t>
  </si>
  <si>
    <t>Reliability</t>
  </si>
  <si>
    <t>Ease of Use</t>
  </si>
  <si>
    <t>Patient-Physician Relationship</t>
  </si>
  <si>
    <t>Type of Telemedicine</t>
  </si>
  <si>
    <t>Internet Connection</t>
  </si>
  <si>
    <t>Education on Technology</t>
  </si>
  <si>
    <t>Safety</t>
  </si>
  <si>
    <t>Attitude</t>
  </si>
  <si>
    <t>Availability</t>
  </si>
  <si>
    <t>Efficiency</t>
  </si>
  <si>
    <t>Usability</t>
  </si>
  <si>
    <t>Interface Quality</t>
  </si>
  <si>
    <t>Confidentiality Concern</t>
  </si>
  <si>
    <t>Device Cost</t>
  </si>
  <si>
    <t>Communication bw. Staff</t>
  </si>
  <si>
    <t>Flexibility</t>
  </si>
  <si>
    <t>Job</t>
  </si>
  <si>
    <t>Usage Behaviour</t>
  </si>
  <si>
    <t>Gender</t>
  </si>
  <si>
    <t>Age</t>
  </si>
  <si>
    <t>Income</t>
  </si>
  <si>
    <t>Race</t>
  </si>
  <si>
    <t>Education Level</t>
  </si>
  <si>
    <t>Ease of Med. Report Transfer</t>
  </si>
  <si>
    <t>Urgency</t>
  </si>
  <si>
    <t>Physician Contribution</t>
  </si>
  <si>
    <t>Missed Appointment Rate</t>
  </si>
  <si>
    <t>Logistics</t>
  </si>
  <si>
    <t>https://ascopubs.org/doi/10.1200/OP.21.00301?url_ver=Z39.88-2003&amp;rfr_id=ori:rid:crossref.org&amp;rfr_dat=cr_pub%20%200pubmed</t>
  </si>
  <si>
    <t>Factors Influencing Patient Preferences for Telehealth Cancer Genetic Counseling During the COVID-19 Pandemic</t>
  </si>
  <si>
    <t xml:space="preserve">Despite the high acceptability of and satisfaction with telehealth during the pandemic, approximately 50% of participants still preferred in-person future medical appointments. </t>
  </si>
  <si>
    <t>Perceived Usefulness</t>
  </si>
  <si>
    <t>perceived usefulness</t>
  </si>
  <si>
    <t xml:space="preserve">willingness to use, cost. </t>
  </si>
  <si>
    <t>D</t>
  </si>
  <si>
    <t/>
  </si>
  <si>
    <t>Similarity To F2F Interaction</t>
  </si>
  <si>
    <t>Convenience facility;scheduling an appointment; immediate response from a specialist,approachable and useful,economical,qualitative care, ease of med report transfer, wait time, offered treatment</t>
  </si>
  <si>
    <t>care provided,types of care</t>
  </si>
  <si>
    <t>distance</t>
  </si>
  <si>
    <t>technical aspect, service quality, cost,convenience</t>
  </si>
  <si>
    <t xml:space="preserve"> trust in physician, technical issues, privacy, cost,convenience, amount of time spent </t>
  </si>
  <si>
    <t>https://www.researchgate.net/publication/348227779_Using_an_Extended_Technology_Acceptance_Model_to_Understand_the_Factors_Influencing_Telehealth_Utilization_After_Flattening_the_COVID-19_Curve_in_South_Korea_Cross-sectional_Survey_Study</t>
  </si>
  <si>
    <t>Using an Extended Technology Acceptance Model to Understand the Factors Influencing Telehealth Utilization After Flattening the COVID-19 Curve in South Korea: Cross-sectional Survey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</si>
</sst>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u/>
      <sz val="11"/>
      <color theme="10"/>
      <name val="Calibri"/>
      <family val="2"/>
      <scheme val="minor"/>
    </font>
    <font>
      <sz val="8"/>
      <name val="Calibri"/>
      <family val="2"/>
      <scheme val="minor"/>
    </font>
    <font>
      <sz val="11"/>
      <color rgb="FFFF0000"/>
      <name val="Calibri"/>
      <family val="2"/>
      <scheme val="minor"/>
    </font>
    <font>
      <sz val="11"/>
      <color theme="5" tint="0.79998168889431442"/>
      <name val="Calibri"/>
      <family val="2"/>
      <scheme val="minor"/>
    </font>
    <font>
      <sz val="10"/>
      <color theme="1"/>
      <name val="Calibri"/>
      <family val="2"/>
      <scheme val="minor"/>
    </font>
    <font>
      <sz val="9"/>
      <color theme="1"/>
      <name val="Calibri"/>
      <family val="2"/>
      <scheme val="minor"/>
    </font>
    <font>
      <b/>
      <sz val="15"/>
      <color theme="3"/>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C000"/>
        <bgColor indexed="64"/>
      </patternFill>
    </fill>
  </fills>
  <borders count="13">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ck">
        <color theme="4"/>
      </bottom>
      <diagonal/>
    </border>
  </borders>
  <cellStyleXfs count="3">
    <xf numFmtId="0" fontId="0" fillId="0" borderId="0"/>
    <xf numFmtId="0" fontId="2" fillId="0" borderId="0" applyNumberFormat="0" applyFill="0" applyBorder="0" applyAlignment="0" applyProtection="0"/>
    <xf numFmtId="0" fontId="8" fillId="0" borderId="12" applyNumberFormat="0" applyFill="0" applyAlignment="0" applyProtection="0"/>
  </cellStyleXfs>
  <cellXfs count="82">
    <xf numFmtId="0" fontId="0" fillId="0" borderId="0" xfId="0"/>
    <xf numFmtId="0" fontId="0" fillId="0" borderId="0" xfId="0" applyAlignment="1">
      <alignment wrapText="1"/>
    </xf>
    <xf numFmtId="0" fontId="0" fillId="0" borderId="0" xfId="0" applyAlignment="1">
      <alignment horizontal="center" vertical="center"/>
    </xf>
    <xf numFmtId="0" fontId="2" fillId="0" borderId="0" xfId="1" applyAlignment="1">
      <alignment wrapText="1"/>
    </xf>
    <xf numFmtId="0" fontId="0" fillId="0" borderId="0" xfId="0" applyAlignment="1">
      <alignment vertical="top" wrapText="1"/>
    </xf>
    <xf numFmtId="0" fontId="2" fillId="0" borderId="0" xfId="1" applyAlignment="1">
      <alignment vertical="top" wrapText="1"/>
    </xf>
    <xf numFmtId="0" fontId="0" fillId="0" borderId="0" xfId="0" applyAlignment="1">
      <alignment vertical="top"/>
    </xf>
    <xf numFmtId="0" fontId="0" fillId="0" borderId="2" xfId="0" applyBorder="1"/>
    <xf numFmtId="0" fontId="2" fillId="0" borderId="0" xfId="1"/>
    <xf numFmtId="0" fontId="0" fillId="0" borderId="0" xfId="0" applyAlignment="1">
      <alignment horizontal="left" vertical="top" wrapText="1"/>
    </xf>
    <xf numFmtId="0" fontId="0" fillId="0" borderId="1" xfId="0"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0" borderId="4" xfId="0" applyBorder="1" applyAlignment="1">
      <alignment horizontal="center" vertical="center"/>
    </xf>
    <xf numFmtId="0" fontId="0" fillId="0" borderId="7" xfId="0" applyBorder="1"/>
    <xf numFmtId="0" fontId="0" fillId="3" borderId="8" xfId="0" applyFill="1" applyBorder="1"/>
    <xf numFmtId="0" fontId="0" fillId="0" borderId="8" xfId="0" applyBorder="1"/>
    <xf numFmtId="0" fontId="0" fillId="0" borderId="9" xfId="0" applyBorder="1"/>
    <xf numFmtId="0" fontId="0" fillId="0" borderId="7" xfId="0" applyBorder="1" applyAlignment="1">
      <alignment horizontal="center" vertical="center"/>
    </xf>
    <xf numFmtId="0" fontId="0" fillId="4" borderId="8" xfId="0" applyFill="1" applyBorder="1"/>
    <xf numFmtId="0" fontId="0" fillId="5" borderId="4" xfId="0" applyFill="1" applyBorder="1" applyAlignment="1">
      <alignment horizontal="center" vertical="center"/>
    </xf>
    <xf numFmtId="0" fontId="0" fillId="5" borderId="0" xfId="0" applyFill="1" applyAlignment="1">
      <alignment horizontal="center" vertical="center"/>
    </xf>
    <xf numFmtId="0" fontId="0" fillId="3" borderId="10" xfId="0" applyFill="1" applyBorder="1"/>
    <xf numFmtId="0" fontId="0" fillId="4" borderId="10" xfId="0" applyFill="1" applyBorder="1"/>
    <xf numFmtId="0" fontId="0" fillId="4" borderId="0" xfId="0" applyFill="1"/>
    <xf numFmtId="0" fontId="4" fillId="0" borderId="6" xfId="0" applyFont="1" applyBorder="1" applyAlignment="1">
      <alignment horizontal="center" vertical="center"/>
    </xf>
    <xf numFmtId="0" fontId="0" fillId="0" borderId="4" xfId="0" applyBorder="1"/>
    <xf numFmtId="0" fontId="0" fillId="0" borderId="6"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4" borderId="2" xfId="0" applyFill="1" applyBorder="1"/>
    <xf numFmtId="0" fontId="0" fillId="3" borderId="9" xfId="0" applyFill="1" applyBorder="1"/>
    <xf numFmtId="0" fontId="0" fillId="5" borderId="1" xfId="0" applyFill="1" applyBorder="1" applyAlignment="1">
      <alignment horizontal="center" vertical="center"/>
    </xf>
    <xf numFmtId="0" fontId="0" fillId="0" borderId="11" xfId="0" applyBorder="1"/>
    <xf numFmtId="0" fontId="0" fillId="0" borderId="1" xfId="0" applyBorder="1"/>
    <xf numFmtId="0" fontId="0" fillId="0" borderId="3" xfId="0" applyBorder="1"/>
    <xf numFmtId="0" fontId="0" fillId="0" borderId="6" xfId="0" applyBorder="1"/>
    <xf numFmtId="0" fontId="0" fillId="6" borderId="0" xfId="0" applyFill="1" applyAlignment="1">
      <alignment horizontal="center" vertical="center"/>
    </xf>
    <xf numFmtId="0" fontId="0" fillId="6" borderId="1" xfId="0" applyFill="1" applyBorder="1" applyAlignment="1">
      <alignment horizontal="center" vertical="center"/>
    </xf>
    <xf numFmtId="0" fontId="0" fillId="6" borderId="0" xfId="0" applyFill="1" applyAlignment="1">
      <alignment horizontal="center"/>
    </xf>
    <xf numFmtId="0" fontId="0" fillId="6" borderId="1" xfId="0" applyFill="1" applyBorder="1" applyAlignment="1">
      <alignment horizontal="center"/>
    </xf>
    <xf numFmtId="0" fontId="5" fillId="6" borderId="0" xfId="0" applyFont="1" applyFill="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5" fillId="6" borderId="1" xfId="0" applyFont="1" applyFill="1" applyBorder="1" applyAlignment="1">
      <alignment horizontal="center" vertical="center"/>
    </xf>
    <xf numFmtId="0" fontId="5" fillId="4" borderId="0" xfId="0" applyFont="1" applyFill="1" applyAlignment="1">
      <alignment horizontal="center" vertical="center"/>
    </xf>
    <xf numFmtId="0" fontId="0" fillId="4" borderId="0" xfId="0" applyFill="1" applyAlignment="1">
      <alignment horizontal="center" vertical="center"/>
    </xf>
    <xf numFmtId="0" fontId="6" fillId="4" borderId="8" xfId="0" applyFont="1" applyFill="1" applyBorder="1"/>
    <xf numFmtId="0" fontId="6" fillId="3" borderId="8" xfId="0" applyFont="1" applyFill="1" applyBorder="1"/>
    <xf numFmtId="0" fontId="6" fillId="0" borderId="9" xfId="0" applyFont="1" applyBorder="1"/>
    <xf numFmtId="0" fontId="7" fillId="4" borderId="8" xfId="0" applyFont="1" applyFill="1" applyBorder="1"/>
    <xf numFmtId="0" fontId="7" fillId="3" borderId="8" xfId="0" applyFont="1" applyFill="1" applyBorder="1"/>
    <xf numFmtId="0" fontId="7" fillId="0" borderId="9" xfId="0" applyFont="1" applyBorder="1"/>
    <xf numFmtId="0" fontId="6" fillId="0" borderId="6" xfId="0" applyFont="1" applyBorder="1" applyAlignment="1">
      <alignment horizontal="center"/>
    </xf>
    <xf numFmtId="0" fontId="6" fillId="0" borderId="4" xfId="0" applyFont="1" applyBorder="1" applyAlignment="1">
      <alignment horizontal="center"/>
    </xf>
    <xf numFmtId="0" fontId="6" fillId="0" borderId="8" xfId="0" applyFont="1" applyBorder="1"/>
    <xf numFmtId="0" fontId="6" fillId="0" borderId="0" xfId="0" applyFont="1"/>
    <xf numFmtId="0" fontId="5" fillId="0" borderId="0" xfId="0" applyFont="1" applyAlignment="1">
      <alignment horizontal="center" vertical="center"/>
    </xf>
    <xf numFmtId="0" fontId="6" fillId="0" borderId="0" xfId="0" applyFont="1" applyAlignment="1">
      <alignment horizontal="center"/>
    </xf>
    <xf numFmtId="0" fontId="6" fillId="0" borderId="10" xfId="0" applyFont="1" applyBorder="1" applyAlignment="1">
      <alignment horizontal="center"/>
    </xf>
    <xf numFmtId="0" fontId="5" fillId="0" borderId="10" xfId="0" applyFont="1" applyBorder="1" applyAlignment="1">
      <alignment horizontal="center" vertical="center"/>
    </xf>
    <xf numFmtId="0" fontId="0" fillId="4" borderId="10" xfId="0" applyFill="1" applyBorder="1" applyAlignment="1">
      <alignment horizontal="center" vertical="center"/>
    </xf>
    <xf numFmtId="0" fontId="0" fillId="3" borderId="10" xfId="0" applyFill="1" applyBorder="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center" vertical="center"/>
    </xf>
    <xf numFmtId="0" fontId="0" fillId="7" borderId="0" xfId="0" applyFill="1" applyAlignment="1">
      <alignment horizontal="center" vertical="center"/>
    </xf>
    <xf numFmtId="0" fontId="0" fillId="7" borderId="0" xfId="0" applyFill="1"/>
    <xf numFmtId="0" fontId="7" fillId="0" borderId="7" xfId="0" applyFont="1" applyBorder="1"/>
    <xf numFmtId="0" fontId="0" fillId="0" borderId="6" xfId="0" applyBorder="1" applyAlignment="1">
      <alignment horizontal="center" vertical="center"/>
    </xf>
    <xf numFmtId="0" fontId="5" fillId="0" borderId="4" xfId="0" applyFont="1" applyBorder="1" applyAlignment="1">
      <alignment horizontal="center" vertical="center"/>
    </xf>
    <xf numFmtId="0" fontId="0" fillId="0" borderId="5" xfId="0" applyBorder="1" applyAlignment="1">
      <alignment horizontal="center" vertical="center"/>
    </xf>
    <xf numFmtId="0" fontId="0" fillId="8" borderId="0" xfId="0" applyFill="1"/>
    <xf numFmtId="0" fontId="8" fillId="0" borderId="12" xfId="2" applyAlignment="1">
      <alignment horizontal="center" vertical="center"/>
    </xf>
    <xf numFmtId="0" fontId="8" fillId="0" borderId="12" xfId="2" applyAlignment="1">
      <alignment vertical="center"/>
    </xf>
    <xf numFmtId="0" fontId="0" fillId="0" borderId="0" xfId="0" applyAlignment="1">
      <alignment vertical="top" wrapText="1"/>
    </xf>
    <xf numFmtId="0" fontId="8" fillId="0" borderId="12" xfId="2" applyAlignment="1">
      <alignment horizontal="center" vertical="center"/>
    </xf>
    <xf numFmtId="0" fontId="0" fillId="0" borderId="0" xfId="0" applyAlignment="1">
      <alignment horizontal="center" vertical="center"/>
    </xf>
    <xf numFmtId="0" fontId="0" fillId="0" borderId="0" xfId="0" applyAlignment="1">
      <alignment horizontal="left" vertical="top" wrapText="1"/>
    </xf>
    <xf numFmtId="0" fontId="0" fillId="2" borderId="0" xfId="0" applyFill="1" applyAlignment="1">
      <alignment horizontal="center" vertical="center"/>
    </xf>
    <xf numFmtId="0" fontId="0" fillId="0" borderId="0" xfId="0" applyAlignment="1">
      <alignment vertical="top"/>
    </xf>
    <xf numFmtId="0" fontId="0" fillId="0" borderId="0" xfId="0" applyAlignment="1">
      <alignment wrapText="1"/>
    </xf>
    <xf numFmtId="0" fontId="8" fillId="0" borderId="12" xfId="2" applyAlignment="1">
      <alignment horizontal="center" vertical="center" wrapText="1"/>
    </xf>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cholarworks.sjsu.edu/cgi/viewcontent.cgi?article=1104&amp;context=etd_doctoral" TargetMode="External"/><Relationship Id="rId13" Type="http://schemas.openxmlformats.org/officeDocument/2006/relationships/hyperlink" Target="https://www.ncbi.nlm.nih.gov/pmc/articles/PMC7882448/" TargetMode="External"/><Relationship Id="rId18" Type="http://schemas.openxmlformats.org/officeDocument/2006/relationships/hyperlink" Target="file:///C:\Users\shafi\OneDrive\Desktop\healthcare-09-01739.pdf" TargetMode="External"/><Relationship Id="rId26" Type="http://schemas.openxmlformats.org/officeDocument/2006/relationships/hyperlink" Target="https://www.researchgate.net/publication/348227779_Using_an_Extended_Technology_Acceptance_Model_to_Understand_the_Factors_Influencing_Telehealth_Utilization_After_Flattening_the_COVID-19_Curve_in_South_Korea_Cross-sectional_Survey_Study" TargetMode="External"/><Relationship Id="rId3" Type="http://schemas.openxmlformats.org/officeDocument/2006/relationships/hyperlink" Target="https://www.ncbi.nlm.nih.gov/pmc/articles/PMC8673882/" TargetMode="External"/><Relationship Id="rId21" Type="http://schemas.openxmlformats.org/officeDocument/2006/relationships/hyperlink" Target="https://www.ncbi.nlm.nih.gov/pmc/articles/PMC5353817/" TargetMode="External"/><Relationship Id="rId7" Type="http://schemas.openxmlformats.org/officeDocument/2006/relationships/hyperlink" Target="https://link.springer.com/article/10.1007/s11845-021-02729-6" TargetMode="External"/><Relationship Id="rId12" Type="http://schemas.openxmlformats.org/officeDocument/2006/relationships/hyperlink" Target="https://www.liebertpub.com/doi/10.1089/tmj.2020.0570" TargetMode="External"/><Relationship Id="rId17" Type="http://schemas.openxmlformats.org/officeDocument/2006/relationships/hyperlink" Target="https://www.ajmc.com/view/patient-and-clinician-experiences-with-telehealth-for-patient-followup-care" TargetMode="External"/><Relationship Id="rId25" Type="http://schemas.openxmlformats.org/officeDocument/2006/relationships/hyperlink" Target="https://ascopubs.org/doi/10.1200/OP.21.00301?url_ver=Z39.88-2003&amp;rfr_id=ori:rid:crossref.org&amp;rfr_dat=cr_pub%20%200pubmed" TargetMode="External"/><Relationship Id="rId2" Type="http://schemas.openxmlformats.org/officeDocument/2006/relationships/hyperlink" Target="https://www.ncbi.nlm.nih.gov/pmc/articles/PMC7159983/" TargetMode="External"/><Relationship Id="rId16" Type="http://schemas.openxmlformats.org/officeDocument/2006/relationships/hyperlink" Target="https://jnccn.org/view/journals/jnccn/19/10/article-p1174.xml?ArticleBodyColorStyles=abstract%20%2F%20extract" TargetMode="External"/><Relationship Id="rId20" Type="http://schemas.openxmlformats.org/officeDocument/2006/relationships/hyperlink" Target="https://ijms.info/IJMS/article/view/1363/1703" TargetMode="External"/><Relationship Id="rId1" Type="http://schemas.openxmlformats.org/officeDocument/2006/relationships/hyperlink" Target="https://meddocsonline.org/annals-of-community-medicine-and-primary-health-care/characteristic-of-patients-attending-virtualClinics-and-their-feedbacks-during-covid-19-pandemic-a-malaysian-urban-private-healthcare-experience.pdf" TargetMode="External"/><Relationship Id="rId6" Type="http://schemas.openxmlformats.org/officeDocument/2006/relationships/hyperlink" Target="https://www.annfammed.org/content/15/3/225" TargetMode="External"/><Relationship Id="rId11" Type="http://schemas.openxmlformats.org/officeDocument/2006/relationships/hyperlink" Target="https://www.ncbi.nlm.nih.gov/pmc/articles/PMC8103305/" TargetMode="External"/><Relationship Id="rId24" Type="http://schemas.openxmlformats.org/officeDocument/2006/relationships/hyperlink" Target="https://onlinelibrary.wiley.com/doi/10.1002/acr.24860" TargetMode="External"/><Relationship Id="rId5" Type="http://schemas.openxmlformats.org/officeDocument/2006/relationships/hyperlink" Target="https://formative.jmir.org/2022/5/e34485" TargetMode="External"/><Relationship Id="rId15" Type="http://schemas.openxmlformats.org/officeDocument/2006/relationships/hyperlink" Target="https://journals.lww.com/jaaosglobal/Fulltext/2022/07000/Telehealth_Visits_After_Shoulder_Surgery__Higher.5.aspx?context=LatestArticles" TargetMode="External"/><Relationship Id="rId23" Type="http://schemas.openxmlformats.org/officeDocument/2006/relationships/hyperlink" Target="https://jamanetwork.com/journals/jamanetworkopen/fullarticle/2786901" TargetMode="External"/><Relationship Id="rId10" Type="http://schemas.openxmlformats.org/officeDocument/2006/relationships/hyperlink" Target="https://www.ncbi.nlm.nih.gov/pmc/articles/PMC9140408/" TargetMode="External"/><Relationship Id="rId19" Type="http://schemas.openxmlformats.org/officeDocument/2006/relationships/hyperlink" Target="https://bcmj.org/articles/evaluating-patient-perceptions-quality-care-through-telemedicine-during-covid-19-pandemic" TargetMode="External"/><Relationship Id="rId4" Type="http://schemas.openxmlformats.org/officeDocument/2006/relationships/hyperlink" Target="https://jamanetwork.com/journals/jamanetworkopen/fullarticle/2786700" TargetMode="External"/><Relationship Id="rId9" Type="http://schemas.openxmlformats.org/officeDocument/2006/relationships/hyperlink" Target="https://journals.lww.com/ajpmr/Fulltext/2020/12000/Implementation_and_Patient_Satisfaction_of.1.aspx" TargetMode="External"/><Relationship Id="rId14" Type="http://schemas.openxmlformats.org/officeDocument/2006/relationships/hyperlink" Target="file:///C:\Users\shafi\OneDrive\Desktop\2021_EllyLee_ELLYLEE-MP-2021.pdf" TargetMode="External"/><Relationship Id="rId22" Type="http://schemas.openxmlformats.org/officeDocument/2006/relationships/hyperlink" Target="https://www.ncbi.nlm.nih.gov/pmc/articles/PMC7681748/" TargetMode="External"/><Relationship Id="rId27"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i-rep.emu.edu.tr:8080/xmlui/bitstream/handle/11129/1993/EfutebaCatherine.pdf?sequence=1" TargetMode="External"/><Relationship Id="rId13" Type="http://schemas.openxmlformats.org/officeDocument/2006/relationships/hyperlink" Target="https://iopscience.iop.org/article/10.1088/1742-6596/1049/1/012024/pdf" TargetMode="External"/><Relationship Id="rId18" Type="http://schemas.openxmlformats.org/officeDocument/2006/relationships/hyperlink" Target="https://openpublichealthjournal.com/VOLUME/14/PAGE/181/" TargetMode="External"/><Relationship Id="rId3" Type="http://schemas.openxmlformats.org/officeDocument/2006/relationships/hyperlink" Target="https://www.bmj.com/content/344/bmj.e1717" TargetMode="External"/><Relationship Id="rId21" Type="http://schemas.openxmlformats.org/officeDocument/2006/relationships/hyperlink" Target="https://www.driveresearch.com/market-research-company-blog/how-to-conduct-a-patient-satisfaction-survey-healthcare-market-research-company/" TargetMode="External"/><Relationship Id="rId7" Type="http://schemas.openxmlformats.org/officeDocument/2006/relationships/hyperlink" Target="https://www.researchgate.net/publication/279178295_FACTORS_AFFECTING_OUTPATIENTS'_SATISFACTIONAT_AT_UNIVERSITY_KEBANGSAAN_MALAYSIA_MEDICAL_CENTRE_UKMMC" TargetMode="External"/><Relationship Id="rId12" Type="http://schemas.openxmlformats.org/officeDocument/2006/relationships/hyperlink" Target="http://www.ijimt.org/vol6/598-BM00007.pdf" TargetMode="External"/><Relationship Id="rId17" Type="http://schemas.openxmlformats.org/officeDocument/2006/relationships/hyperlink" Target="https://medic.upm.edu.my/upload/dokumen/2022031418365208_MJMHS_0205.pdf" TargetMode="External"/><Relationship Id="rId2" Type="http://schemas.openxmlformats.org/officeDocument/2006/relationships/hyperlink" Target="https://journals.sagepub.com/doi/10.1177/2050312120945129" TargetMode="External"/><Relationship Id="rId16" Type="http://schemas.openxmlformats.org/officeDocument/2006/relationships/hyperlink" Target="https://cyberleninka.org/article/n/658321/viewer" TargetMode="External"/><Relationship Id="rId20" Type="http://schemas.openxmlformats.org/officeDocument/2006/relationships/hyperlink" Target="https://www.researchgate.net/publication/225276759_Patient-Related_Factors_Influencing_Satisfaction_in_the_Patient-Doctor_Encounters_at_the_General_Outpatient_Clinic_of_the_University_of_Calabar_Teaching_Hospital_Calabar_Nigeria" TargetMode="External"/><Relationship Id="rId1" Type="http://schemas.openxmlformats.org/officeDocument/2006/relationships/hyperlink" Target="https://www.dovepress.com/study-on-potential-factors-of-patient-satisfaction-based-on-explorator-peer-reviewed-fulltext-article-PPA" TargetMode="External"/><Relationship Id="rId6" Type="http://schemas.openxmlformats.org/officeDocument/2006/relationships/hyperlink" Target="https://www.hindawi.com/journals/tswj/2015/714754/" TargetMode="External"/><Relationship Id="rId11" Type="http://schemas.openxmlformats.org/officeDocument/2006/relationships/hyperlink" Target="https://e-mfp.org/wp-content/uploads/OAPatients-satisfaction-with-healthcare.pdf" TargetMode="External"/><Relationship Id="rId5" Type="http://schemas.openxmlformats.org/officeDocument/2006/relationships/hyperlink" Target="https://www.researchgate.net/publication/26784552_Factors_affecting_patient_satisfaction_and_healthcare_quality" TargetMode="External"/><Relationship Id="rId15" Type="http://schemas.openxmlformats.org/officeDocument/2006/relationships/hyperlink" Target="http://eprints.utar.edu.my/3420/1/KANG_AIK_JOO_17UKM04913_project_report.pdf" TargetMode="External"/><Relationship Id="rId10" Type="http://schemas.openxmlformats.org/officeDocument/2006/relationships/hyperlink" Target="https://www.mdpi.com/2227-9032/9/10/1369/htm" TargetMode="External"/><Relationship Id="rId19" Type="http://schemas.openxmlformats.org/officeDocument/2006/relationships/hyperlink" Target="file:///C:\Users\shafi\OneDrive\Desktop\2021_Fadhullah_fadhullah%20(1).pdf" TargetMode="External"/><Relationship Id="rId4" Type="http://schemas.openxmlformats.org/officeDocument/2006/relationships/hyperlink" Target="https://www.ncbi.nlm.nih.gov/pmc/articles/PMC6489650/" TargetMode="External"/><Relationship Id="rId9" Type="http://schemas.openxmlformats.org/officeDocument/2006/relationships/hyperlink" Target="https://www.medicineandhealthukm.com/sites/medicineandhealthukm.com/files/article/2013/02-MS138%20(12-23)_0.pdf" TargetMode="External"/><Relationship Id="rId14" Type="http://schemas.openxmlformats.org/officeDocument/2006/relationships/hyperlink" Target="https://www.tandfonline.com/doi/abs/10.1080/10686967.2019.1615852?journalCode=uqmj20" TargetMode="External"/><Relationship Id="rId22"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C38F-EE0B-4FDF-88C2-552E36E05546}">
  <dimension ref="A3:O124"/>
  <sheetViews>
    <sheetView tabSelected="1" zoomScale="55" zoomScaleNormal="55" workbookViewId="0">
      <pane xSplit="1" ySplit="4" topLeftCell="B5" activePane="bottomRight" state="frozen"/>
      <selection pane="topRight" activeCell="C1" sqref="C1"/>
      <selection pane="bottomLeft" activeCell="A5" sqref="A5"/>
      <selection pane="bottomRight" activeCell="M11" sqref="M11:M12"/>
    </sheetView>
  </sheetViews>
  <sheetFormatPr defaultRowHeight="14.4" x14ac:dyDescent="0.3"/>
  <cols>
    <col min="1" max="1" width="5.21875" customWidth="1"/>
    <col min="2" max="2" width="25.5546875" customWidth="1"/>
    <col min="3" max="3" width="7" customWidth="1"/>
    <col min="4" max="4" width="41.33203125" customWidth="1"/>
    <col min="5" max="5" width="45" customWidth="1"/>
    <col min="6" max="9" width="17.21875" customWidth="1"/>
    <col min="10" max="10" width="13.88671875" customWidth="1"/>
    <col min="11" max="11" width="20.21875" customWidth="1"/>
    <col min="12" max="12" width="29.33203125" customWidth="1"/>
    <col min="13" max="14" width="39" customWidth="1"/>
    <col min="15" max="15" width="48.44140625" customWidth="1"/>
  </cols>
  <sheetData>
    <row r="3" spans="1:15" ht="20.399999999999999" thickBot="1" x14ac:dyDescent="0.35">
      <c r="A3" s="75" t="s">
        <v>0</v>
      </c>
      <c r="B3" s="75" t="s">
        <v>1</v>
      </c>
      <c r="C3" s="75" t="s">
        <v>358</v>
      </c>
      <c r="D3" s="75" t="s">
        <v>2</v>
      </c>
      <c r="E3" s="75" t="s">
        <v>3</v>
      </c>
      <c r="F3" s="75" t="s">
        <v>4</v>
      </c>
      <c r="G3" s="75"/>
      <c r="H3" s="75"/>
      <c r="I3" s="75"/>
      <c r="J3" s="75" t="s">
        <v>5</v>
      </c>
      <c r="K3" s="75"/>
      <c r="L3" s="75" t="s">
        <v>6</v>
      </c>
      <c r="M3" s="75" t="s">
        <v>37</v>
      </c>
      <c r="N3" s="75" t="s">
        <v>38</v>
      </c>
      <c r="O3" s="81" t="s">
        <v>91</v>
      </c>
    </row>
    <row r="4" spans="1:15" ht="21" thickTop="1" thickBot="1" x14ac:dyDescent="0.35">
      <c r="A4" s="75"/>
      <c r="B4" s="75"/>
      <c r="C4" s="75"/>
      <c r="D4" s="75"/>
      <c r="E4" s="75"/>
      <c r="F4" s="72" t="s">
        <v>7</v>
      </c>
      <c r="G4" s="72" t="s">
        <v>8</v>
      </c>
      <c r="H4" s="72" t="s">
        <v>9</v>
      </c>
      <c r="I4" s="72" t="s">
        <v>10</v>
      </c>
      <c r="J4" s="73"/>
      <c r="K4" s="72" t="s">
        <v>170</v>
      </c>
      <c r="L4" s="75"/>
      <c r="M4" s="75"/>
      <c r="N4" s="75"/>
      <c r="O4" s="81"/>
    </row>
    <row r="5" spans="1:15" ht="64.8" customHeight="1" thickTop="1" x14ac:dyDescent="0.3">
      <c r="A5" s="78">
        <v>1</v>
      </c>
      <c r="B5" s="77" t="s">
        <v>87</v>
      </c>
      <c r="C5" s="77">
        <v>2022</v>
      </c>
      <c r="D5" s="4" t="s">
        <v>89</v>
      </c>
      <c r="E5" s="74" t="s">
        <v>88</v>
      </c>
      <c r="F5" s="74" t="s">
        <v>172</v>
      </c>
      <c r="G5" s="74" t="s">
        <v>173</v>
      </c>
      <c r="H5" s="74"/>
      <c r="I5" s="74"/>
      <c r="J5" s="74" t="s">
        <v>178</v>
      </c>
      <c r="K5" s="4" t="s">
        <v>171</v>
      </c>
      <c r="L5" s="74" t="s">
        <v>359</v>
      </c>
      <c r="M5" s="74" t="s">
        <v>93</v>
      </c>
      <c r="N5" s="77" t="s">
        <v>90</v>
      </c>
      <c r="O5" s="74" t="s">
        <v>92</v>
      </c>
    </row>
    <row r="6" spans="1:15" ht="64.8" customHeight="1" x14ac:dyDescent="0.3">
      <c r="A6" s="78"/>
      <c r="B6" s="77"/>
      <c r="C6" s="77"/>
      <c r="D6" s="5" t="s">
        <v>13</v>
      </c>
      <c r="E6" s="74"/>
      <c r="F6" s="74"/>
      <c r="G6" s="74"/>
      <c r="H6" s="74"/>
      <c r="I6" s="74"/>
      <c r="J6" s="74"/>
      <c r="K6" s="4" t="s">
        <v>205</v>
      </c>
      <c r="L6" s="74"/>
      <c r="M6" s="74"/>
      <c r="N6" s="77"/>
      <c r="O6" s="74"/>
    </row>
    <row r="7" spans="1:15" ht="64.8" customHeight="1" x14ac:dyDescent="0.3">
      <c r="A7" s="78">
        <v>2</v>
      </c>
      <c r="B7" s="77" t="s">
        <v>99</v>
      </c>
      <c r="C7" s="77">
        <v>2021</v>
      </c>
      <c r="D7" s="4" t="s">
        <v>14</v>
      </c>
      <c r="E7" s="74" t="s">
        <v>101</v>
      </c>
      <c r="F7" s="4" t="s">
        <v>110</v>
      </c>
      <c r="G7" s="4" t="s">
        <v>102</v>
      </c>
      <c r="H7" s="4" t="s">
        <v>176</v>
      </c>
      <c r="I7" s="74"/>
      <c r="J7" s="74" t="s">
        <v>174</v>
      </c>
      <c r="K7" s="4" t="s">
        <v>177</v>
      </c>
      <c r="L7" s="74" t="s">
        <v>360</v>
      </c>
      <c r="M7" s="74" t="s">
        <v>175</v>
      </c>
      <c r="N7" s="74" t="s">
        <v>104</v>
      </c>
      <c r="O7" s="74" t="s">
        <v>103</v>
      </c>
    </row>
    <row r="8" spans="1:15" ht="64.8" customHeight="1" x14ac:dyDescent="0.3">
      <c r="A8" s="78"/>
      <c r="B8" s="77"/>
      <c r="C8" s="77"/>
      <c r="D8" s="5" t="s">
        <v>100</v>
      </c>
      <c r="E8" s="74"/>
      <c r="F8" s="4" t="s">
        <v>109</v>
      </c>
      <c r="G8" s="4" t="s">
        <v>108</v>
      </c>
      <c r="H8" s="4"/>
      <c r="I8" s="74"/>
      <c r="J8" s="74"/>
      <c r="K8" s="4" t="s">
        <v>204</v>
      </c>
      <c r="L8" s="74"/>
      <c r="M8" s="74"/>
      <c r="N8" s="74"/>
      <c r="O8" s="74"/>
    </row>
    <row r="9" spans="1:15" ht="64.8" customHeight="1" x14ac:dyDescent="0.3">
      <c r="A9" s="78">
        <v>3</v>
      </c>
      <c r="B9" s="77" t="s">
        <v>105</v>
      </c>
      <c r="C9" s="77">
        <v>2020</v>
      </c>
      <c r="D9" s="4" t="s">
        <v>15</v>
      </c>
      <c r="E9" s="74" t="s">
        <v>107</v>
      </c>
      <c r="F9" s="4"/>
      <c r="G9" s="74" t="s">
        <v>180</v>
      </c>
      <c r="H9" s="74" t="s">
        <v>183</v>
      </c>
      <c r="I9" s="74" t="s">
        <v>181</v>
      </c>
      <c r="J9" s="74" t="s">
        <v>182</v>
      </c>
      <c r="K9" s="4" t="s">
        <v>179</v>
      </c>
      <c r="L9" s="74" t="s">
        <v>361</v>
      </c>
      <c r="M9" s="74" t="s">
        <v>184</v>
      </c>
      <c r="N9" s="80" t="s">
        <v>185</v>
      </c>
      <c r="O9" s="80" t="s">
        <v>186</v>
      </c>
    </row>
    <row r="10" spans="1:15" ht="64.8" customHeight="1" x14ac:dyDescent="0.3">
      <c r="A10" s="78"/>
      <c r="B10" s="77"/>
      <c r="C10" s="77"/>
      <c r="D10" s="5" t="s">
        <v>106</v>
      </c>
      <c r="E10" s="74"/>
      <c r="F10" s="4" t="s">
        <v>111</v>
      </c>
      <c r="G10" s="74"/>
      <c r="H10" s="74"/>
      <c r="I10" s="74"/>
      <c r="J10" s="74"/>
      <c r="K10" s="4" t="s">
        <v>203</v>
      </c>
      <c r="L10" s="74"/>
      <c r="M10" s="74"/>
      <c r="N10" s="80"/>
      <c r="O10" s="80"/>
    </row>
    <row r="11" spans="1:15" ht="64.8" customHeight="1" x14ac:dyDescent="0.3">
      <c r="A11" s="76">
        <v>4</v>
      </c>
      <c r="B11" s="79" t="s">
        <v>187</v>
      </c>
      <c r="C11" s="77"/>
      <c r="D11" s="4" t="s">
        <v>16</v>
      </c>
      <c r="E11" s="74" t="s">
        <v>188</v>
      </c>
      <c r="F11" s="79" t="s">
        <v>169</v>
      </c>
      <c r="G11" s="74" t="s">
        <v>193</v>
      </c>
      <c r="H11" s="79"/>
      <c r="I11" s="79" t="s">
        <v>189</v>
      </c>
      <c r="J11" s="74" t="s">
        <v>190</v>
      </c>
      <c r="K11" s="4" t="s">
        <v>192</v>
      </c>
      <c r="L11" s="74" t="s">
        <v>115</v>
      </c>
      <c r="M11" s="74" t="s">
        <v>196</v>
      </c>
      <c r="N11" s="74" t="s">
        <v>194</v>
      </c>
      <c r="O11" s="74" t="s">
        <v>195</v>
      </c>
    </row>
    <row r="12" spans="1:15" ht="64.8" customHeight="1" x14ac:dyDescent="0.3">
      <c r="A12" s="76"/>
      <c r="B12" s="79"/>
      <c r="C12" s="77"/>
      <c r="D12" s="5" t="s">
        <v>17</v>
      </c>
      <c r="E12" s="74"/>
      <c r="F12" s="79"/>
      <c r="G12" s="74"/>
      <c r="H12" s="79"/>
      <c r="I12" s="79"/>
      <c r="J12" s="74"/>
      <c r="K12" s="6" t="s">
        <v>202</v>
      </c>
      <c r="L12" s="74"/>
      <c r="M12" s="74"/>
      <c r="N12" s="74"/>
      <c r="O12" s="74"/>
    </row>
    <row r="13" spans="1:15" ht="64.8" customHeight="1" x14ac:dyDescent="0.3">
      <c r="A13" s="78">
        <v>5</v>
      </c>
      <c r="B13" s="77" t="s">
        <v>113</v>
      </c>
      <c r="C13" s="77">
        <v>2021</v>
      </c>
      <c r="D13" s="4" t="s">
        <v>18</v>
      </c>
      <c r="E13" s="74" t="s">
        <v>114</v>
      </c>
      <c r="F13" s="74" t="s">
        <v>116</v>
      </c>
      <c r="G13" s="74" t="s">
        <v>198</v>
      </c>
      <c r="H13" s="74" t="s">
        <v>200</v>
      </c>
      <c r="I13" s="74"/>
      <c r="J13" s="74" t="s">
        <v>197</v>
      </c>
      <c r="K13" s="4" t="s">
        <v>191</v>
      </c>
      <c r="L13" s="74" t="s">
        <v>362</v>
      </c>
      <c r="M13" s="74" t="s">
        <v>117</v>
      </c>
      <c r="N13" s="74" t="s">
        <v>201</v>
      </c>
      <c r="O13" s="74" t="s">
        <v>118</v>
      </c>
    </row>
    <row r="14" spans="1:15" ht="64.8" customHeight="1" x14ac:dyDescent="0.3">
      <c r="A14" s="78"/>
      <c r="B14" s="77"/>
      <c r="C14" s="77"/>
      <c r="D14" s="5" t="s">
        <v>19</v>
      </c>
      <c r="E14" s="74"/>
      <c r="F14" s="74"/>
      <c r="G14" s="74"/>
      <c r="H14" s="74"/>
      <c r="I14" s="74"/>
      <c r="J14" s="74"/>
      <c r="K14" s="4" t="s">
        <v>199</v>
      </c>
      <c r="L14" s="74"/>
      <c r="M14" s="74"/>
      <c r="N14" s="74"/>
      <c r="O14" s="74"/>
    </row>
    <row r="15" spans="1:15" ht="64.8" customHeight="1" x14ac:dyDescent="0.3">
      <c r="A15" s="78">
        <v>6</v>
      </c>
      <c r="B15" s="77" t="s">
        <v>119</v>
      </c>
      <c r="C15" s="77">
        <v>2021</v>
      </c>
      <c r="D15" s="4" t="s">
        <v>20</v>
      </c>
      <c r="E15" s="74" t="s">
        <v>120</v>
      </c>
      <c r="F15" s="74" t="s">
        <v>122</v>
      </c>
      <c r="G15" s="74" t="s">
        <v>209</v>
      </c>
      <c r="H15" s="74"/>
      <c r="I15" s="74" t="s">
        <v>452</v>
      </c>
      <c r="J15" s="74" t="s">
        <v>208</v>
      </c>
      <c r="K15" s="4" t="s">
        <v>207</v>
      </c>
      <c r="L15" s="74" t="s">
        <v>363</v>
      </c>
      <c r="M15" s="74" t="s">
        <v>121</v>
      </c>
      <c r="N15" s="74" t="s">
        <v>123</v>
      </c>
      <c r="O15" s="74" t="s">
        <v>210</v>
      </c>
    </row>
    <row r="16" spans="1:15" ht="64.8" customHeight="1" x14ac:dyDescent="0.3">
      <c r="A16" s="78"/>
      <c r="B16" s="77"/>
      <c r="C16" s="77"/>
      <c r="D16" s="5" t="s">
        <v>21</v>
      </c>
      <c r="E16" s="74"/>
      <c r="F16" s="74"/>
      <c r="G16" s="74"/>
      <c r="H16" s="74"/>
      <c r="I16" s="74"/>
      <c r="J16" s="74"/>
      <c r="K16" s="4" t="s">
        <v>206</v>
      </c>
      <c r="L16" s="74"/>
      <c r="M16" s="74"/>
      <c r="N16" s="74"/>
      <c r="O16" s="74"/>
    </row>
    <row r="17" spans="1:15" ht="64.8" customHeight="1" x14ac:dyDescent="0.3">
      <c r="A17" s="76">
        <v>7</v>
      </c>
      <c r="B17" s="77" t="s">
        <v>95</v>
      </c>
      <c r="C17" s="77">
        <v>2022</v>
      </c>
      <c r="D17" s="4" t="s">
        <v>22</v>
      </c>
      <c r="E17" s="74" t="s">
        <v>94</v>
      </c>
      <c r="F17" s="74" t="s">
        <v>211</v>
      </c>
      <c r="G17" s="74" t="s">
        <v>214</v>
      </c>
      <c r="H17" s="74" t="s">
        <v>213</v>
      </c>
      <c r="I17" s="74"/>
      <c r="J17" s="74" t="s">
        <v>154</v>
      </c>
      <c r="K17" s="4" t="s">
        <v>367</v>
      </c>
      <c r="L17" s="74" t="s">
        <v>364</v>
      </c>
      <c r="M17" s="74" t="s">
        <v>96</v>
      </c>
      <c r="N17" s="74" t="s">
        <v>98</v>
      </c>
      <c r="O17" s="74" t="s">
        <v>97</v>
      </c>
    </row>
    <row r="18" spans="1:15" ht="64.8" customHeight="1" x14ac:dyDescent="0.3">
      <c r="A18" s="76"/>
      <c r="B18" s="77"/>
      <c r="C18" s="77"/>
      <c r="D18" s="5" t="s">
        <v>23</v>
      </c>
      <c r="E18" s="74"/>
      <c r="F18" s="74"/>
      <c r="G18" s="74"/>
      <c r="H18" s="74"/>
      <c r="I18" s="74"/>
      <c r="J18" s="74"/>
      <c r="K18" s="4" t="s">
        <v>212</v>
      </c>
      <c r="L18" s="74"/>
      <c r="M18" s="74"/>
      <c r="N18" s="74"/>
      <c r="O18" s="74"/>
    </row>
    <row r="19" spans="1:15" ht="64.8" customHeight="1" x14ac:dyDescent="0.3">
      <c r="A19" s="78">
        <v>8</v>
      </c>
      <c r="B19" s="77" t="s">
        <v>124</v>
      </c>
      <c r="C19" s="77">
        <v>2017</v>
      </c>
      <c r="D19" s="4" t="s">
        <v>24</v>
      </c>
      <c r="E19" s="74" t="s">
        <v>125</v>
      </c>
      <c r="F19" s="74" t="s">
        <v>122</v>
      </c>
      <c r="G19" s="74" t="s">
        <v>217</v>
      </c>
      <c r="H19" s="74"/>
      <c r="I19" s="74"/>
      <c r="J19" s="74" t="s">
        <v>366</v>
      </c>
      <c r="K19" s="4" t="s">
        <v>365</v>
      </c>
      <c r="L19" s="74" t="s">
        <v>216</v>
      </c>
      <c r="M19" s="74" t="s">
        <v>126</v>
      </c>
      <c r="N19" s="74" t="s">
        <v>218</v>
      </c>
      <c r="O19" s="74" t="s">
        <v>127</v>
      </c>
    </row>
    <row r="20" spans="1:15" ht="64.8" customHeight="1" x14ac:dyDescent="0.3">
      <c r="A20" s="78"/>
      <c r="B20" s="77"/>
      <c r="C20" s="77"/>
      <c r="D20" s="5" t="s">
        <v>25</v>
      </c>
      <c r="E20" s="74"/>
      <c r="F20" s="74"/>
      <c r="G20" s="74"/>
      <c r="H20" s="74"/>
      <c r="I20" s="74"/>
      <c r="J20" s="74"/>
      <c r="K20" s="4" t="s">
        <v>215</v>
      </c>
      <c r="L20" s="74"/>
      <c r="M20" s="74"/>
      <c r="N20" s="74"/>
      <c r="O20" s="74"/>
    </row>
    <row r="21" spans="1:15" ht="64.8" customHeight="1" x14ac:dyDescent="0.3">
      <c r="A21" s="78">
        <v>9</v>
      </c>
      <c r="B21" s="77" t="s">
        <v>128</v>
      </c>
      <c r="C21" s="77">
        <v>2022</v>
      </c>
      <c r="D21" s="4" t="s">
        <v>26</v>
      </c>
      <c r="E21" s="74" t="s">
        <v>129</v>
      </c>
      <c r="F21" s="74" t="s">
        <v>219</v>
      </c>
      <c r="G21" s="74" t="s">
        <v>456</v>
      </c>
      <c r="H21" s="74"/>
      <c r="I21" s="74"/>
      <c r="J21" s="74" t="s">
        <v>371</v>
      </c>
      <c r="K21" s="4" t="s">
        <v>370</v>
      </c>
      <c r="L21" s="74" t="s">
        <v>368</v>
      </c>
      <c r="M21" s="74" t="s">
        <v>130</v>
      </c>
      <c r="N21" s="74" t="s">
        <v>131</v>
      </c>
      <c r="O21" s="74" t="s">
        <v>221</v>
      </c>
    </row>
    <row r="22" spans="1:15" ht="64.8" customHeight="1" x14ac:dyDescent="0.3">
      <c r="A22" s="78"/>
      <c r="B22" s="77"/>
      <c r="C22" s="77"/>
      <c r="D22" s="5" t="s">
        <v>27</v>
      </c>
      <c r="E22" s="74"/>
      <c r="F22" s="74"/>
      <c r="G22" s="74"/>
      <c r="H22" s="74"/>
      <c r="I22" s="74"/>
      <c r="J22" s="74"/>
      <c r="K22" s="4" t="s">
        <v>220</v>
      </c>
      <c r="L22" s="74"/>
      <c r="M22" s="74"/>
      <c r="N22" s="74"/>
      <c r="O22" s="74"/>
    </row>
    <row r="23" spans="1:15" ht="64.8" customHeight="1" x14ac:dyDescent="0.3">
      <c r="A23" s="78">
        <v>10</v>
      </c>
      <c r="B23" s="77" t="s">
        <v>222</v>
      </c>
      <c r="C23" s="77">
        <v>2019</v>
      </c>
      <c r="D23" s="4" t="s">
        <v>28</v>
      </c>
      <c r="E23" s="74" t="s">
        <v>223</v>
      </c>
      <c r="F23" s="74" t="s">
        <v>226</v>
      </c>
      <c r="G23" s="74" t="s">
        <v>227</v>
      </c>
      <c r="H23" s="74" t="s">
        <v>228</v>
      </c>
      <c r="I23" s="74"/>
      <c r="J23" s="74" t="s">
        <v>369</v>
      </c>
      <c r="K23" s="4" t="s">
        <v>372</v>
      </c>
      <c r="L23" s="74" t="s">
        <v>225</v>
      </c>
      <c r="M23" s="74" t="s">
        <v>229</v>
      </c>
      <c r="N23" s="74" t="s">
        <v>230</v>
      </c>
      <c r="O23" s="74" t="s">
        <v>231</v>
      </c>
    </row>
    <row r="24" spans="1:15" ht="64.8" customHeight="1" x14ac:dyDescent="0.3">
      <c r="A24" s="78"/>
      <c r="B24" s="77"/>
      <c r="C24" s="77"/>
      <c r="D24" s="5" t="s">
        <v>29</v>
      </c>
      <c r="E24" s="74"/>
      <c r="F24" s="74"/>
      <c r="G24" s="74"/>
      <c r="H24" s="74"/>
      <c r="I24" s="74"/>
      <c r="J24" s="74"/>
      <c r="K24" s="4" t="s">
        <v>224</v>
      </c>
      <c r="L24" s="74"/>
      <c r="M24" s="74"/>
      <c r="N24" s="74"/>
      <c r="O24" s="74"/>
    </row>
    <row r="25" spans="1:15" ht="64.8" customHeight="1" x14ac:dyDescent="0.3">
      <c r="A25" s="78">
        <v>11</v>
      </c>
      <c r="B25" s="77" t="s">
        <v>132</v>
      </c>
      <c r="C25" s="77">
        <v>2020</v>
      </c>
      <c r="D25" s="4" t="s">
        <v>30</v>
      </c>
      <c r="E25" s="74" t="s">
        <v>133</v>
      </c>
      <c r="F25" s="74" t="s">
        <v>235</v>
      </c>
      <c r="G25" s="74" t="s">
        <v>134</v>
      </c>
      <c r="H25" s="74" t="s">
        <v>232</v>
      </c>
      <c r="I25" s="74"/>
      <c r="J25" s="74" t="s">
        <v>374</v>
      </c>
      <c r="K25" s="4" t="s">
        <v>236</v>
      </c>
      <c r="L25" s="74" t="s">
        <v>373</v>
      </c>
      <c r="M25" s="74" t="s">
        <v>234</v>
      </c>
      <c r="N25" s="74" t="s">
        <v>135</v>
      </c>
      <c r="O25" s="74" t="s">
        <v>136</v>
      </c>
    </row>
    <row r="26" spans="1:15" ht="64.8" customHeight="1" x14ac:dyDescent="0.3">
      <c r="A26" s="78"/>
      <c r="B26" s="77"/>
      <c r="C26" s="77"/>
      <c r="D26" s="5" t="s">
        <v>31</v>
      </c>
      <c r="E26" s="74"/>
      <c r="F26" s="74"/>
      <c r="G26" s="74"/>
      <c r="H26" s="74"/>
      <c r="I26" s="74"/>
      <c r="J26" s="74"/>
      <c r="K26" s="4" t="s">
        <v>233</v>
      </c>
      <c r="L26" s="74"/>
      <c r="M26" s="74"/>
      <c r="N26" s="74"/>
      <c r="O26" s="74"/>
    </row>
    <row r="27" spans="1:15" ht="64.8" customHeight="1" x14ac:dyDescent="0.3">
      <c r="A27" s="78">
        <v>12</v>
      </c>
      <c r="B27" s="77" t="s">
        <v>137</v>
      </c>
      <c r="C27" s="77">
        <v>2022</v>
      </c>
      <c r="D27" s="4" t="s">
        <v>32</v>
      </c>
      <c r="E27" s="74" t="s">
        <v>237</v>
      </c>
      <c r="F27" s="74" t="s">
        <v>139</v>
      </c>
      <c r="G27" s="74" t="s">
        <v>240</v>
      </c>
      <c r="H27" s="74"/>
      <c r="I27" s="74"/>
      <c r="J27" s="74" t="s">
        <v>375</v>
      </c>
      <c r="K27" s="4" t="s">
        <v>376</v>
      </c>
      <c r="L27" s="74" t="s">
        <v>238</v>
      </c>
      <c r="M27" s="74" t="s">
        <v>138</v>
      </c>
      <c r="N27" s="74" t="s">
        <v>241</v>
      </c>
      <c r="O27" s="74" t="s">
        <v>242</v>
      </c>
    </row>
    <row r="28" spans="1:15" ht="64.8" customHeight="1" x14ac:dyDescent="0.3">
      <c r="A28" s="78"/>
      <c r="B28" s="77"/>
      <c r="C28" s="77"/>
      <c r="D28" s="5" t="s">
        <v>33</v>
      </c>
      <c r="E28" s="74"/>
      <c r="F28" s="74"/>
      <c r="G28" s="74"/>
      <c r="H28" s="74"/>
      <c r="I28" s="74"/>
      <c r="J28" s="74"/>
      <c r="K28" s="4" t="s">
        <v>239</v>
      </c>
      <c r="L28" s="74"/>
      <c r="M28" s="74"/>
      <c r="N28" s="74"/>
      <c r="O28" s="74"/>
    </row>
    <row r="29" spans="1:15" ht="64.8" customHeight="1" x14ac:dyDescent="0.3">
      <c r="A29" s="78">
        <v>13</v>
      </c>
      <c r="B29" s="77" t="s">
        <v>140</v>
      </c>
      <c r="C29" s="77">
        <v>2021</v>
      </c>
      <c r="D29" s="4" t="s">
        <v>34</v>
      </c>
      <c r="E29" s="74" t="s">
        <v>141</v>
      </c>
      <c r="F29" s="74" t="s">
        <v>142</v>
      </c>
      <c r="G29" s="74" t="s">
        <v>460</v>
      </c>
      <c r="H29" s="74"/>
      <c r="I29" s="74"/>
      <c r="J29" s="74" t="s">
        <v>377</v>
      </c>
      <c r="K29" s="4" t="s">
        <v>365</v>
      </c>
      <c r="L29" s="74" t="s">
        <v>378</v>
      </c>
      <c r="M29" s="74" t="s">
        <v>144</v>
      </c>
      <c r="N29" s="74" t="s">
        <v>146</v>
      </c>
      <c r="O29" s="74" t="s">
        <v>145</v>
      </c>
    </row>
    <row r="30" spans="1:15" ht="64.8" customHeight="1" x14ac:dyDescent="0.3">
      <c r="A30" s="78"/>
      <c r="B30" s="77"/>
      <c r="C30" s="77"/>
      <c r="D30" s="5" t="s">
        <v>143</v>
      </c>
      <c r="E30" s="74"/>
      <c r="F30" s="74"/>
      <c r="G30" s="74"/>
      <c r="H30" s="74"/>
      <c r="I30" s="74"/>
      <c r="J30" s="74"/>
      <c r="K30" s="4" t="s">
        <v>243</v>
      </c>
      <c r="L30" s="74"/>
      <c r="M30" s="74"/>
      <c r="N30" s="74"/>
      <c r="O30" s="74"/>
    </row>
    <row r="31" spans="1:15" ht="64.8" customHeight="1" x14ac:dyDescent="0.3">
      <c r="A31" s="78">
        <v>14</v>
      </c>
      <c r="B31" s="77" t="s">
        <v>147</v>
      </c>
      <c r="C31" s="77">
        <v>2021</v>
      </c>
      <c r="D31" s="4" t="s">
        <v>35</v>
      </c>
      <c r="E31" s="74" t="s">
        <v>148</v>
      </c>
      <c r="F31" s="74" t="s">
        <v>245</v>
      </c>
      <c r="G31" s="74" t="s">
        <v>246</v>
      </c>
      <c r="H31" s="74" t="s">
        <v>151</v>
      </c>
      <c r="I31" s="74"/>
      <c r="J31" s="74"/>
      <c r="K31" s="4"/>
      <c r="L31" s="74" t="s">
        <v>149</v>
      </c>
      <c r="M31" s="74" t="s">
        <v>150</v>
      </c>
      <c r="N31" s="74"/>
      <c r="O31" s="74" t="s">
        <v>247</v>
      </c>
    </row>
    <row r="32" spans="1:15" ht="64.8" customHeight="1" x14ac:dyDescent="0.3">
      <c r="A32" s="78"/>
      <c r="B32" s="77"/>
      <c r="C32" s="77"/>
      <c r="D32" s="5" t="s">
        <v>36</v>
      </c>
      <c r="E32" s="74"/>
      <c r="F32" s="74"/>
      <c r="G32" s="74"/>
      <c r="H32" s="74"/>
      <c r="I32" s="74"/>
      <c r="J32" s="74"/>
      <c r="K32" s="4" t="s">
        <v>244</v>
      </c>
      <c r="L32" s="74"/>
      <c r="M32" s="74"/>
      <c r="N32" s="74"/>
      <c r="O32" s="74"/>
    </row>
    <row r="33" spans="1:15" ht="64.8" customHeight="1" x14ac:dyDescent="0.3">
      <c r="A33" s="78">
        <v>15</v>
      </c>
      <c r="B33" s="77" t="s">
        <v>152</v>
      </c>
      <c r="C33" s="77">
        <v>2022</v>
      </c>
      <c r="D33" s="4" t="s">
        <v>85</v>
      </c>
      <c r="E33" s="74" t="s">
        <v>153</v>
      </c>
      <c r="F33" s="74" t="s">
        <v>249</v>
      </c>
      <c r="G33" s="74" t="s">
        <v>250</v>
      </c>
      <c r="H33" s="74"/>
      <c r="I33" s="74"/>
      <c r="J33" s="74" t="s">
        <v>248</v>
      </c>
      <c r="K33" s="4" t="s">
        <v>380</v>
      </c>
      <c r="L33" s="74" t="s">
        <v>379</v>
      </c>
      <c r="M33" s="74" t="s">
        <v>155</v>
      </c>
      <c r="N33" s="74" t="s">
        <v>156</v>
      </c>
      <c r="O33" s="74" t="s">
        <v>252</v>
      </c>
    </row>
    <row r="34" spans="1:15" ht="64.8" customHeight="1" x14ac:dyDescent="0.3">
      <c r="A34" s="78"/>
      <c r="B34" s="77"/>
      <c r="C34" s="77"/>
      <c r="D34" s="5" t="s">
        <v>86</v>
      </c>
      <c r="E34" s="74"/>
      <c r="F34" s="74"/>
      <c r="G34" s="74"/>
      <c r="H34" s="74"/>
      <c r="I34" s="74"/>
      <c r="J34" s="74"/>
      <c r="K34" s="4" t="s">
        <v>251</v>
      </c>
      <c r="L34" s="74"/>
      <c r="M34" s="74"/>
      <c r="N34" s="74"/>
      <c r="O34" s="74"/>
    </row>
    <row r="35" spans="1:15" ht="64.8" customHeight="1" x14ac:dyDescent="0.3">
      <c r="A35" s="78">
        <v>16</v>
      </c>
      <c r="B35" s="77" t="s">
        <v>158</v>
      </c>
      <c r="C35" s="77">
        <v>2021</v>
      </c>
      <c r="D35" s="4" t="s">
        <v>77</v>
      </c>
      <c r="E35" s="74" t="s">
        <v>157</v>
      </c>
      <c r="F35" s="74" t="s">
        <v>161</v>
      </c>
      <c r="G35" s="74" t="s">
        <v>253</v>
      </c>
      <c r="H35" s="74" t="s">
        <v>160</v>
      </c>
      <c r="I35" s="74"/>
      <c r="J35" s="74" t="s">
        <v>255</v>
      </c>
      <c r="K35" s="4" t="s">
        <v>191</v>
      </c>
      <c r="L35" s="74" t="s">
        <v>381</v>
      </c>
      <c r="M35" s="74" t="s">
        <v>159</v>
      </c>
      <c r="N35" s="74" t="s">
        <v>162</v>
      </c>
      <c r="O35" s="74" t="s">
        <v>254</v>
      </c>
    </row>
    <row r="36" spans="1:15" ht="64.8" customHeight="1" x14ac:dyDescent="0.3">
      <c r="A36" s="78"/>
      <c r="B36" s="77"/>
      <c r="C36" s="77"/>
      <c r="D36" s="5" t="s">
        <v>78</v>
      </c>
      <c r="E36" s="74"/>
      <c r="F36" s="74"/>
      <c r="G36" s="74"/>
      <c r="H36" s="74"/>
      <c r="I36" s="74"/>
      <c r="J36" s="74"/>
      <c r="K36" s="4" t="s">
        <v>256</v>
      </c>
      <c r="L36" s="74"/>
      <c r="M36" s="74"/>
      <c r="N36" s="74"/>
      <c r="O36" s="74"/>
    </row>
    <row r="37" spans="1:15" ht="64.8" customHeight="1" x14ac:dyDescent="0.3">
      <c r="A37" s="76">
        <v>17</v>
      </c>
      <c r="B37" s="77" t="s">
        <v>163</v>
      </c>
      <c r="C37" s="77">
        <v>2019</v>
      </c>
      <c r="D37" s="4" t="s">
        <v>80</v>
      </c>
      <c r="E37" s="74" t="s">
        <v>164</v>
      </c>
      <c r="F37" s="74" t="s">
        <v>168</v>
      </c>
      <c r="G37" s="74" t="s">
        <v>258</v>
      </c>
      <c r="H37" s="74"/>
      <c r="I37" s="74" t="s">
        <v>259</v>
      </c>
      <c r="J37" s="74" t="s">
        <v>260</v>
      </c>
      <c r="K37" s="4" t="s">
        <v>382</v>
      </c>
      <c r="L37" s="74" t="s">
        <v>383</v>
      </c>
      <c r="M37" s="74" t="s">
        <v>166</v>
      </c>
      <c r="N37" s="74" t="s">
        <v>165</v>
      </c>
      <c r="O37" s="74" t="s">
        <v>167</v>
      </c>
    </row>
    <row r="38" spans="1:15" ht="64.8" customHeight="1" x14ac:dyDescent="0.3">
      <c r="A38" s="76"/>
      <c r="B38" s="77"/>
      <c r="C38" s="77"/>
      <c r="D38" s="5" t="s">
        <v>79</v>
      </c>
      <c r="E38" s="74"/>
      <c r="F38" s="74"/>
      <c r="G38" s="74"/>
      <c r="H38" s="74"/>
      <c r="I38" s="74"/>
      <c r="J38" s="74"/>
      <c r="K38" s="4" t="s">
        <v>257</v>
      </c>
      <c r="L38" s="74"/>
      <c r="M38" s="74"/>
      <c r="N38" s="74"/>
      <c r="O38" s="74"/>
    </row>
    <row r="39" spans="1:15" ht="64.8" customHeight="1" x14ac:dyDescent="0.3">
      <c r="A39" s="78">
        <v>18</v>
      </c>
      <c r="B39" s="77" t="s">
        <v>288</v>
      </c>
      <c r="C39" s="77"/>
      <c r="D39" s="1" t="s">
        <v>286</v>
      </c>
      <c r="E39" s="74" t="s">
        <v>289</v>
      </c>
      <c r="F39" s="74" t="s">
        <v>161</v>
      </c>
      <c r="G39" s="74" t="s">
        <v>291</v>
      </c>
      <c r="H39" s="74"/>
      <c r="I39" s="74"/>
      <c r="J39" s="74" t="s">
        <v>112</v>
      </c>
      <c r="K39" s="4" t="s">
        <v>290</v>
      </c>
      <c r="L39" s="74"/>
      <c r="M39" s="74" t="s">
        <v>294</v>
      </c>
      <c r="N39" s="74" t="s">
        <v>293</v>
      </c>
      <c r="O39" s="74" t="s">
        <v>292</v>
      </c>
    </row>
    <row r="40" spans="1:15" ht="62.4" customHeight="1" x14ac:dyDescent="0.3">
      <c r="A40" s="78"/>
      <c r="B40" s="77"/>
      <c r="C40" s="77"/>
      <c r="D40" s="8" t="s">
        <v>287</v>
      </c>
      <c r="E40" s="74"/>
      <c r="F40" s="74"/>
      <c r="G40" s="74"/>
      <c r="H40" s="74"/>
      <c r="I40" s="74"/>
      <c r="J40" s="74"/>
      <c r="K40" s="4" t="s">
        <v>299</v>
      </c>
      <c r="L40" s="74"/>
      <c r="M40" s="74"/>
      <c r="N40" s="74"/>
      <c r="O40" s="74"/>
    </row>
    <row r="41" spans="1:15" ht="62.4" customHeight="1" x14ac:dyDescent="0.3">
      <c r="A41" s="78">
        <v>19</v>
      </c>
      <c r="B41" s="77" t="s">
        <v>297</v>
      </c>
      <c r="C41" s="77">
        <v>2022</v>
      </c>
      <c r="D41" s="1" t="s">
        <v>295</v>
      </c>
      <c r="E41" s="74" t="s">
        <v>298</v>
      </c>
      <c r="F41" s="74" t="s">
        <v>304</v>
      </c>
      <c r="G41" s="74" t="s">
        <v>400</v>
      </c>
      <c r="H41" s="74" t="s">
        <v>401</v>
      </c>
      <c r="I41" s="74"/>
      <c r="J41" s="74" t="s">
        <v>384</v>
      </c>
      <c r="K41" s="4" t="s">
        <v>365</v>
      </c>
      <c r="L41" s="74" t="s">
        <v>385</v>
      </c>
      <c r="M41" s="74" t="s">
        <v>303</v>
      </c>
      <c r="N41" s="74" t="s">
        <v>302</v>
      </c>
      <c r="O41" s="74" t="s">
        <v>301</v>
      </c>
    </row>
    <row r="42" spans="1:15" ht="62.4" customHeight="1" x14ac:dyDescent="0.3">
      <c r="A42" s="78"/>
      <c r="B42" s="77"/>
      <c r="C42" s="77"/>
      <c r="D42" s="8" t="s">
        <v>296</v>
      </c>
      <c r="E42" s="74"/>
      <c r="F42" s="74"/>
      <c r="G42" s="74"/>
      <c r="H42" s="74"/>
      <c r="I42" s="74"/>
      <c r="J42" s="74"/>
      <c r="K42" s="4" t="s">
        <v>300</v>
      </c>
      <c r="L42" s="74"/>
      <c r="M42" s="74"/>
      <c r="N42" s="74"/>
      <c r="O42" s="74"/>
    </row>
    <row r="43" spans="1:15" ht="62.4" customHeight="1" x14ac:dyDescent="0.3">
      <c r="A43" s="78">
        <v>20</v>
      </c>
      <c r="B43" s="77" t="s">
        <v>307</v>
      </c>
      <c r="C43" s="77">
        <v>2022</v>
      </c>
      <c r="D43" s="1" t="s">
        <v>305</v>
      </c>
      <c r="E43" s="74" t="s">
        <v>308</v>
      </c>
      <c r="F43" s="74" t="s">
        <v>116</v>
      </c>
      <c r="G43" s="74" t="s">
        <v>313</v>
      </c>
      <c r="H43" s="74"/>
      <c r="I43" s="74"/>
      <c r="J43" s="74" t="s">
        <v>386</v>
      </c>
      <c r="K43" s="4" t="s">
        <v>191</v>
      </c>
      <c r="L43" s="74" t="s">
        <v>387</v>
      </c>
      <c r="M43" s="74" t="s">
        <v>310</v>
      </c>
      <c r="N43" s="74" t="s">
        <v>309</v>
      </c>
      <c r="O43" s="74" t="s">
        <v>312</v>
      </c>
    </row>
    <row r="44" spans="1:15" ht="62.4" customHeight="1" x14ac:dyDescent="0.3">
      <c r="A44" s="78"/>
      <c r="B44" s="77"/>
      <c r="C44" s="77"/>
      <c r="D44" s="8" t="s">
        <v>306</v>
      </c>
      <c r="E44" s="74"/>
      <c r="F44" s="74"/>
      <c r="G44" s="74"/>
      <c r="H44" s="74"/>
      <c r="I44" s="74"/>
      <c r="J44" s="74"/>
      <c r="K44" s="4" t="s">
        <v>311</v>
      </c>
      <c r="L44" s="74"/>
      <c r="M44" s="74"/>
      <c r="N44" s="74"/>
      <c r="O44" s="74"/>
    </row>
    <row r="45" spans="1:15" ht="62.4" customHeight="1" x14ac:dyDescent="0.3">
      <c r="A45" s="78">
        <v>21</v>
      </c>
      <c r="B45" s="77" t="s">
        <v>316</v>
      </c>
      <c r="C45" s="77"/>
      <c r="D45" s="1" t="s">
        <v>314</v>
      </c>
      <c r="E45" s="74" t="s">
        <v>317</v>
      </c>
      <c r="F45" s="74" t="s">
        <v>318</v>
      </c>
      <c r="G45" s="74" t="s">
        <v>320</v>
      </c>
      <c r="H45" s="74"/>
      <c r="I45" s="74"/>
      <c r="J45" s="74" t="s">
        <v>321</v>
      </c>
      <c r="K45" s="4"/>
      <c r="L45" s="74"/>
      <c r="M45" s="74" t="s">
        <v>328</v>
      </c>
      <c r="N45" s="74"/>
      <c r="O45" s="74" t="s">
        <v>327</v>
      </c>
    </row>
    <row r="46" spans="1:15" ht="62.4" customHeight="1" x14ac:dyDescent="0.3">
      <c r="A46" s="78"/>
      <c r="B46" s="77"/>
      <c r="C46" s="77"/>
      <c r="D46" s="8" t="s">
        <v>315</v>
      </c>
      <c r="E46" s="74"/>
      <c r="F46" s="74"/>
      <c r="G46" s="74"/>
      <c r="H46" s="74"/>
      <c r="I46" s="74"/>
      <c r="J46" s="74"/>
      <c r="K46" s="4" t="s">
        <v>319</v>
      </c>
      <c r="L46" s="74"/>
      <c r="M46" s="74"/>
      <c r="N46" s="74"/>
      <c r="O46" s="74"/>
    </row>
    <row r="47" spans="1:15" ht="62.4" customHeight="1" x14ac:dyDescent="0.3">
      <c r="A47" s="78">
        <v>22</v>
      </c>
      <c r="B47" s="77" t="s">
        <v>324</v>
      </c>
      <c r="C47" s="77">
        <v>2016</v>
      </c>
      <c r="D47" s="1" t="s">
        <v>323</v>
      </c>
      <c r="E47" s="74" t="s">
        <v>331</v>
      </c>
      <c r="F47" s="74" t="s">
        <v>116</v>
      </c>
      <c r="G47" s="74" t="s">
        <v>459</v>
      </c>
      <c r="H47" s="74"/>
      <c r="I47" s="74"/>
      <c r="J47" s="74" t="s">
        <v>388</v>
      </c>
      <c r="K47" s="4" t="s">
        <v>191</v>
      </c>
      <c r="L47" s="74" t="s">
        <v>389</v>
      </c>
      <c r="M47" s="74" t="s">
        <v>326</v>
      </c>
      <c r="N47" s="74" t="s">
        <v>329</v>
      </c>
      <c r="O47" s="74" t="s">
        <v>330</v>
      </c>
    </row>
    <row r="48" spans="1:15" ht="62.4" customHeight="1" x14ac:dyDescent="0.3">
      <c r="A48" s="78"/>
      <c r="B48" s="77"/>
      <c r="C48" s="77"/>
      <c r="D48" s="8" t="s">
        <v>322</v>
      </c>
      <c r="E48" s="74"/>
      <c r="F48" s="74"/>
      <c r="G48" s="74"/>
      <c r="H48" s="74"/>
      <c r="I48" s="74"/>
      <c r="J48" s="74"/>
      <c r="K48" s="4" t="s">
        <v>325</v>
      </c>
      <c r="L48" s="74"/>
      <c r="M48" s="74"/>
      <c r="N48" s="74"/>
      <c r="O48" s="74"/>
    </row>
    <row r="49" spans="1:15" ht="62.4" customHeight="1" x14ac:dyDescent="0.3">
      <c r="A49" s="78">
        <v>23</v>
      </c>
      <c r="B49" s="77" t="s">
        <v>333</v>
      </c>
      <c r="C49" s="77">
        <v>2020</v>
      </c>
      <c r="D49" s="1" t="s">
        <v>332</v>
      </c>
      <c r="E49" s="74" t="s">
        <v>338</v>
      </c>
      <c r="F49" s="74" t="s">
        <v>336</v>
      </c>
      <c r="G49" s="74" t="s">
        <v>341</v>
      </c>
      <c r="H49" s="74"/>
      <c r="I49" s="74"/>
      <c r="J49" s="74" t="s">
        <v>390</v>
      </c>
      <c r="K49" s="4" t="s">
        <v>191</v>
      </c>
      <c r="L49" s="74" t="s">
        <v>391</v>
      </c>
      <c r="M49" s="74" t="s">
        <v>337</v>
      </c>
      <c r="N49" s="74" t="s">
        <v>339</v>
      </c>
      <c r="O49" s="74" t="s">
        <v>340</v>
      </c>
    </row>
    <row r="50" spans="1:15" ht="62.4" customHeight="1" x14ac:dyDescent="0.3">
      <c r="A50" s="78"/>
      <c r="B50" s="77"/>
      <c r="C50" s="77"/>
      <c r="D50" s="8" t="s">
        <v>334</v>
      </c>
      <c r="E50" s="74"/>
      <c r="F50" s="74"/>
      <c r="G50" s="74"/>
      <c r="H50" s="74"/>
      <c r="I50" s="74"/>
      <c r="J50" s="74"/>
      <c r="K50" s="4" t="s">
        <v>335</v>
      </c>
      <c r="L50" s="74"/>
      <c r="M50" s="74"/>
      <c r="N50" s="74"/>
      <c r="O50" s="74"/>
    </row>
    <row r="51" spans="1:15" ht="62.4" customHeight="1" x14ac:dyDescent="0.3">
      <c r="A51" s="78">
        <v>24</v>
      </c>
      <c r="B51" s="77" t="s">
        <v>343</v>
      </c>
      <c r="C51" s="77">
        <v>2021</v>
      </c>
      <c r="D51" s="1" t="s">
        <v>342</v>
      </c>
      <c r="E51" s="74" t="s">
        <v>346</v>
      </c>
      <c r="F51" s="74" t="s">
        <v>116</v>
      </c>
      <c r="G51" s="74" t="s">
        <v>402</v>
      </c>
      <c r="H51" s="74" t="s">
        <v>403</v>
      </c>
      <c r="I51" s="74"/>
      <c r="J51" s="74" t="s">
        <v>347</v>
      </c>
      <c r="K51" s="4" t="s">
        <v>365</v>
      </c>
      <c r="L51" s="74" t="s">
        <v>392</v>
      </c>
      <c r="M51" s="74" t="s">
        <v>345</v>
      </c>
      <c r="N51" s="74" t="s">
        <v>349</v>
      </c>
      <c r="O51" s="74" t="s">
        <v>350</v>
      </c>
    </row>
    <row r="52" spans="1:15" ht="62.4" customHeight="1" x14ac:dyDescent="0.3">
      <c r="A52" s="78"/>
      <c r="B52" s="77"/>
      <c r="C52" s="77"/>
      <c r="D52" s="8" t="s">
        <v>344</v>
      </c>
      <c r="E52" s="74"/>
      <c r="F52" s="74"/>
      <c r="G52" s="74"/>
      <c r="H52" s="74"/>
      <c r="I52" s="74"/>
      <c r="J52" s="74"/>
      <c r="K52" s="4" t="s">
        <v>348</v>
      </c>
      <c r="L52" s="74"/>
      <c r="M52" s="74"/>
      <c r="N52" s="74"/>
      <c r="O52" s="74"/>
    </row>
    <row r="53" spans="1:15" ht="62.4" customHeight="1" x14ac:dyDescent="0.3">
      <c r="A53" s="76">
        <v>25</v>
      </c>
      <c r="B53" s="77"/>
      <c r="C53" s="9"/>
      <c r="D53" s="1" t="s">
        <v>286</v>
      </c>
      <c r="E53" s="74"/>
      <c r="F53" s="74"/>
      <c r="G53" s="74"/>
      <c r="H53" s="74"/>
      <c r="I53" s="74"/>
      <c r="J53" s="74"/>
      <c r="K53" s="4"/>
      <c r="L53" s="74"/>
      <c r="M53" s="74"/>
      <c r="N53" s="74"/>
      <c r="O53" s="74"/>
    </row>
    <row r="54" spans="1:15" ht="62.4" customHeight="1" x14ac:dyDescent="0.3">
      <c r="A54" s="76"/>
      <c r="B54" s="77"/>
      <c r="C54" s="9"/>
      <c r="D54" s="8" t="s">
        <v>287</v>
      </c>
      <c r="E54" s="74"/>
      <c r="F54" s="74"/>
      <c r="G54" s="74"/>
      <c r="H54" s="74"/>
      <c r="I54" s="74"/>
      <c r="J54" s="74"/>
      <c r="K54" s="4"/>
      <c r="L54" s="74"/>
      <c r="M54" s="74"/>
      <c r="N54" s="74"/>
      <c r="O54" s="74"/>
    </row>
    <row r="55" spans="1:15" ht="62.4" customHeight="1" x14ac:dyDescent="0.3">
      <c r="A55" s="76">
        <v>26</v>
      </c>
      <c r="B55" s="77"/>
      <c r="C55" s="9"/>
      <c r="D55" s="1" t="s">
        <v>448</v>
      </c>
      <c r="E55" s="74"/>
      <c r="F55" s="74"/>
      <c r="G55" s="74"/>
      <c r="H55" s="74"/>
      <c r="I55" s="74"/>
      <c r="J55" s="74"/>
      <c r="K55" s="4"/>
      <c r="L55" s="74"/>
      <c r="M55" s="74" t="s">
        <v>449</v>
      </c>
      <c r="N55" s="74"/>
      <c r="O55" s="74"/>
    </row>
    <row r="56" spans="1:15" ht="62.4" customHeight="1" x14ac:dyDescent="0.3">
      <c r="A56" s="76"/>
      <c r="B56" s="77"/>
      <c r="C56" s="9"/>
      <c r="D56" s="8" t="s">
        <v>447</v>
      </c>
      <c r="E56" s="74"/>
      <c r="F56" s="74"/>
      <c r="G56" s="74"/>
      <c r="H56" s="74"/>
      <c r="I56" s="74"/>
      <c r="J56" s="74"/>
      <c r="K56" s="4"/>
      <c r="L56" s="74"/>
      <c r="M56" s="74"/>
      <c r="N56" s="74"/>
      <c r="O56" s="74"/>
    </row>
    <row r="57" spans="1:15" ht="62.4" customHeight="1" x14ac:dyDescent="0.3">
      <c r="A57" s="76">
        <v>27</v>
      </c>
      <c r="B57" s="77"/>
      <c r="C57" s="9"/>
      <c r="D57" s="1" t="s">
        <v>462</v>
      </c>
      <c r="E57" s="74"/>
      <c r="F57" s="74"/>
      <c r="G57" s="74"/>
      <c r="H57" s="74"/>
      <c r="I57" s="74"/>
      <c r="J57" s="74"/>
      <c r="K57" s="4"/>
      <c r="L57" s="74"/>
      <c r="M57" s="74"/>
      <c r="N57" s="74"/>
      <c r="O57" s="74"/>
    </row>
    <row r="58" spans="1:15" ht="62.4" customHeight="1" x14ac:dyDescent="0.3">
      <c r="A58" s="76"/>
      <c r="B58" s="77"/>
      <c r="C58" s="9"/>
      <c r="D58" s="8" t="s">
        <v>461</v>
      </c>
      <c r="E58" s="74"/>
      <c r="F58" s="74"/>
      <c r="G58" s="74"/>
      <c r="H58" s="74"/>
      <c r="I58" s="74"/>
      <c r="J58" s="74"/>
      <c r="K58" s="4"/>
      <c r="L58" s="74"/>
      <c r="M58" s="74"/>
      <c r="N58" s="74"/>
      <c r="O58" s="74"/>
    </row>
    <row r="59" spans="1:15" ht="62.4" customHeight="1" x14ac:dyDescent="0.3">
      <c r="A59" s="76">
        <v>28</v>
      </c>
      <c r="B59" s="77"/>
      <c r="C59" s="9"/>
      <c r="D59" s="1"/>
      <c r="E59" s="74"/>
      <c r="F59" s="74"/>
      <c r="G59" s="74"/>
      <c r="H59" s="74"/>
      <c r="I59" s="74"/>
      <c r="J59" s="74"/>
      <c r="K59" s="4"/>
      <c r="L59" s="74"/>
      <c r="M59" s="74"/>
      <c r="N59" s="74"/>
      <c r="O59" s="74"/>
    </row>
    <row r="60" spans="1:15" ht="62.4" customHeight="1" x14ac:dyDescent="0.3">
      <c r="A60" s="76"/>
      <c r="B60" s="77"/>
      <c r="C60" s="9"/>
      <c r="D60" s="8"/>
      <c r="E60" s="74"/>
      <c r="F60" s="74"/>
      <c r="G60" s="74"/>
      <c r="H60" s="74"/>
      <c r="I60" s="74"/>
      <c r="J60" s="74"/>
      <c r="K60" s="4"/>
      <c r="L60" s="74"/>
      <c r="M60" s="74"/>
      <c r="N60" s="74"/>
      <c r="O60" s="74"/>
    </row>
    <row r="61" spans="1:15" ht="62.4" customHeight="1" x14ac:dyDescent="0.3">
      <c r="A61" s="76">
        <v>29</v>
      </c>
      <c r="B61" s="77"/>
      <c r="C61" s="9"/>
      <c r="D61" s="1"/>
      <c r="E61" s="74"/>
      <c r="F61" s="74"/>
      <c r="G61" s="74"/>
      <c r="H61" s="74"/>
      <c r="I61" s="74"/>
      <c r="J61" s="74"/>
      <c r="K61" s="4"/>
      <c r="L61" s="74"/>
      <c r="M61" s="74"/>
      <c r="N61" s="74"/>
      <c r="O61" s="74"/>
    </row>
    <row r="62" spans="1:15" ht="62.4" customHeight="1" x14ac:dyDescent="0.3">
      <c r="A62" s="76"/>
      <c r="B62" s="77"/>
      <c r="C62" s="9"/>
      <c r="D62" s="8"/>
      <c r="E62" s="74"/>
      <c r="F62" s="74"/>
      <c r="G62" s="74"/>
      <c r="H62" s="74"/>
      <c r="I62" s="74"/>
      <c r="J62" s="74"/>
      <c r="K62" s="4"/>
      <c r="L62" s="74"/>
      <c r="M62" s="74"/>
      <c r="N62" s="74"/>
      <c r="O62" s="74"/>
    </row>
    <row r="63" spans="1:15" ht="62.4" customHeight="1" x14ac:dyDescent="0.3">
      <c r="A63" s="76">
        <v>30</v>
      </c>
      <c r="B63" s="77"/>
      <c r="C63" s="9"/>
      <c r="D63" s="1"/>
      <c r="E63" s="74"/>
      <c r="F63" s="74"/>
      <c r="G63" s="74"/>
      <c r="H63" s="74"/>
      <c r="I63" s="74"/>
      <c r="J63" s="74"/>
      <c r="K63" s="4"/>
      <c r="L63" s="74"/>
      <c r="M63" s="74"/>
      <c r="N63" s="74"/>
      <c r="O63" s="74"/>
    </row>
    <row r="64" spans="1:15" ht="62.4" customHeight="1" x14ac:dyDescent="0.3">
      <c r="A64" s="76"/>
      <c r="B64" s="77"/>
      <c r="C64" s="9"/>
      <c r="D64" s="8"/>
      <c r="E64" s="74"/>
      <c r="F64" s="74"/>
      <c r="G64" s="74"/>
      <c r="H64" s="74"/>
      <c r="I64" s="74"/>
      <c r="J64" s="74"/>
      <c r="K64" s="4"/>
      <c r="L64" s="74"/>
      <c r="M64" s="74"/>
      <c r="N64" s="74"/>
      <c r="O64" s="74"/>
    </row>
    <row r="65" spans="1:15" ht="62.4" customHeight="1" x14ac:dyDescent="0.3">
      <c r="A65" s="76">
        <v>31</v>
      </c>
      <c r="B65" s="77"/>
      <c r="C65" s="9"/>
      <c r="D65" s="1"/>
      <c r="E65" s="74"/>
      <c r="F65" s="74"/>
      <c r="G65" s="74"/>
      <c r="H65" s="74"/>
      <c r="I65" s="74"/>
      <c r="J65" s="74"/>
      <c r="K65" s="4"/>
      <c r="L65" s="74"/>
      <c r="M65" s="74"/>
      <c r="N65" s="74"/>
      <c r="O65" s="74"/>
    </row>
    <row r="66" spans="1:15" ht="62.4" customHeight="1" x14ac:dyDescent="0.3">
      <c r="A66" s="76"/>
      <c r="B66" s="77"/>
      <c r="C66" s="9"/>
      <c r="D66" s="8"/>
      <c r="E66" s="74"/>
      <c r="F66" s="74"/>
      <c r="G66" s="74"/>
      <c r="H66" s="74"/>
      <c r="I66" s="74"/>
      <c r="J66" s="74"/>
      <c r="K66" s="4"/>
      <c r="L66" s="74"/>
      <c r="M66" s="74"/>
      <c r="N66" s="74"/>
      <c r="O66" s="74"/>
    </row>
    <row r="67" spans="1:15" ht="62.4" customHeight="1" x14ac:dyDescent="0.3">
      <c r="A67" s="76">
        <v>32</v>
      </c>
      <c r="B67" s="77"/>
      <c r="C67" s="9"/>
      <c r="D67" s="1"/>
      <c r="E67" s="74"/>
      <c r="F67" s="74"/>
      <c r="G67" s="74"/>
      <c r="H67" s="74"/>
      <c r="I67" s="74"/>
      <c r="J67" s="74"/>
      <c r="K67" s="4"/>
      <c r="L67" s="74"/>
      <c r="M67" s="74"/>
      <c r="N67" s="74"/>
      <c r="O67" s="74"/>
    </row>
    <row r="68" spans="1:15" ht="62.4" customHeight="1" x14ac:dyDescent="0.3">
      <c r="A68" s="76"/>
      <c r="B68" s="77"/>
      <c r="C68" s="9"/>
      <c r="D68" s="8"/>
      <c r="E68" s="74"/>
      <c r="F68" s="74"/>
      <c r="G68" s="74"/>
      <c r="H68" s="74"/>
      <c r="I68" s="74"/>
      <c r="J68" s="74"/>
      <c r="K68" s="4"/>
      <c r="L68" s="74"/>
      <c r="M68" s="74"/>
      <c r="N68" s="74"/>
      <c r="O68" s="74"/>
    </row>
    <row r="69" spans="1:15" ht="62.4" customHeight="1" x14ac:dyDescent="0.3">
      <c r="A69" s="76">
        <v>33</v>
      </c>
      <c r="B69" s="77"/>
      <c r="C69" s="9"/>
      <c r="D69" s="1"/>
      <c r="E69" s="74"/>
      <c r="F69" s="74"/>
      <c r="G69" s="74"/>
      <c r="H69" s="74"/>
      <c r="I69" s="74"/>
      <c r="J69" s="74"/>
      <c r="K69" s="4"/>
      <c r="L69" s="74"/>
      <c r="M69" s="74"/>
      <c r="N69" s="74"/>
      <c r="O69" s="74"/>
    </row>
    <row r="70" spans="1:15" ht="62.4" customHeight="1" x14ac:dyDescent="0.3">
      <c r="A70" s="76"/>
      <c r="B70" s="77"/>
      <c r="C70" s="9"/>
      <c r="D70" s="8"/>
      <c r="E70" s="74"/>
      <c r="F70" s="74"/>
      <c r="G70" s="74"/>
      <c r="H70" s="74"/>
      <c r="I70" s="74"/>
      <c r="J70" s="74"/>
      <c r="K70" s="4"/>
      <c r="L70" s="74"/>
      <c r="M70" s="74"/>
      <c r="N70" s="74"/>
      <c r="O70" s="74"/>
    </row>
    <row r="71" spans="1:15" ht="62.4" customHeight="1" x14ac:dyDescent="0.3">
      <c r="A71" s="76">
        <v>34</v>
      </c>
      <c r="B71" s="77"/>
      <c r="C71" s="9"/>
      <c r="D71" s="1"/>
      <c r="E71" s="74"/>
      <c r="F71" s="74"/>
      <c r="G71" s="74"/>
      <c r="H71" s="74"/>
      <c r="I71" s="74"/>
      <c r="J71" s="74"/>
      <c r="K71" s="4"/>
      <c r="L71" s="74"/>
      <c r="M71" s="74"/>
      <c r="N71" s="74"/>
      <c r="O71" s="74"/>
    </row>
    <row r="72" spans="1:15" ht="62.4" customHeight="1" x14ac:dyDescent="0.3">
      <c r="A72" s="76"/>
      <c r="B72" s="77"/>
      <c r="C72" s="9"/>
      <c r="D72" s="8"/>
      <c r="E72" s="74"/>
      <c r="F72" s="74"/>
      <c r="G72" s="74"/>
      <c r="H72" s="74"/>
      <c r="I72" s="74"/>
      <c r="J72" s="74"/>
      <c r="K72" s="4"/>
      <c r="L72" s="74"/>
      <c r="M72" s="74"/>
      <c r="N72" s="74"/>
      <c r="O72" s="74"/>
    </row>
    <row r="73" spans="1:15" ht="62.4" customHeight="1" x14ac:dyDescent="0.3">
      <c r="A73" s="76">
        <v>35</v>
      </c>
      <c r="B73" s="77"/>
      <c r="C73" s="9"/>
      <c r="D73" s="1"/>
      <c r="E73" s="74"/>
      <c r="F73" s="74"/>
      <c r="G73" s="74"/>
      <c r="H73" s="74"/>
      <c r="I73" s="74"/>
      <c r="J73" s="74"/>
      <c r="K73" s="4"/>
      <c r="L73" s="74"/>
      <c r="M73" s="74"/>
      <c r="N73" s="74"/>
      <c r="O73" s="74"/>
    </row>
    <row r="74" spans="1:15" ht="62.4" customHeight="1" x14ac:dyDescent="0.3">
      <c r="A74" s="76"/>
      <c r="B74" s="77"/>
      <c r="C74" s="9"/>
      <c r="D74" s="8"/>
      <c r="E74" s="74"/>
      <c r="F74" s="74"/>
      <c r="G74" s="74"/>
      <c r="H74" s="74"/>
      <c r="I74" s="74"/>
      <c r="J74" s="74"/>
      <c r="K74" s="4"/>
      <c r="L74" s="74"/>
      <c r="M74" s="74"/>
      <c r="N74" s="74"/>
      <c r="O74" s="74"/>
    </row>
    <row r="75" spans="1:15" ht="62.4" customHeight="1" x14ac:dyDescent="0.3">
      <c r="A75" s="76">
        <v>36</v>
      </c>
      <c r="B75" s="77"/>
      <c r="C75" s="9"/>
      <c r="D75" s="1"/>
      <c r="E75" s="74"/>
      <c r="F75" s="74"/>
      <c r="G75" s="74"/>
      <c r="H75" s="74"/>
      <c r="I75" s="74"/>
      <c r="J75" s="74"/>
      <c r="K75" s="4"/>
      <c r="L75" s="74"/>
      <c r="M75" s="74"/>
      <c r="N75" s="74"/>
      <c r="O75" s="74"/>
    </row>
    <row r="76" spans="1:15" ht="62.4" customHeight="1" x14ac:dyDescent="0.3">
      <c r="A76" s="76"/>
      <c r="B76" s="77"/>
      <c r="C76" s="9"/>
      <c r="D76" s="8"/>
      <c r="E76" s="74"/>
      <c r="F76" s="74"/>
      <c r="G76" s="74"/>
      <c r="H76" s="74"/>
      <c r="I76" s="74"/>
      <c r="J76" s="74"/>
      <c r="K76" s="4"/>
      <c r="L76" s="74"/>
      <c r="M76" s="74"/>
      <c r="N76" s="74"/>
      <c r="O76" s="74"/>
    </row>
    <row r="77" spans="1:15" ht="62.4" customHeight="1" x14ac:dyDescent="0.3">
      <c r="A77" s="76">
        <v>37</v>
      </c>
      <c r="B77" s="77"/>
      <c r="C77" s="9"/>
      <c r="D77" s="1"/>
      <c r="E77" s="74"/>
      <c r="F77" s="74"/>
      <c r="G77" s="74"/>
      <c r="H77" s="74"/>
      <c r="I77" s="74"/>
      <c r="J77" s="74"/>
      <c r="K77" s="4"/>
      <c r="L77" s="74"/>
      <c r="M77" s="74"/>
      <c r="N77" s="74"/>
      <c r="O77" s="74"/>
    </row>
    <row r="78" spans="1:15" ht="62.4" customHeight="1" x14ac:dyDescent="0.3">
      <c r="A78" s="76"/>
      <c r="B78" s="77"/>
      <c r="C78" s="9"/>
      <c r="D78" s="8"/>
      <c r="E78" s="74"/>
      <c r="F78" s="74"/>
      <c r="G78" s="74"/>
      <c r="H78" s="74"/>
      <c r="I78" s="74"/>
      <c r="J78" s="74"/>
      <c r="K78" s="4"/>
      <c r="L78" s="74"/>
      <c r="M78" s="74"/>
      <c r="N78" s="74"/>
      <c r="O78" s="74"/>
    </row>
    <row r="79" spans="1:15" ht="62.4" customHeight="1" x14ac:dyDescent="0.3">
      <c r="A79" s="76">
        <v>38</v>
      </c>
      <c r="B79" s="77"/>
      <c r="C79" s="9"/>
      <c r="D79" s="1"/>
      <c r="E79" s="74"/>
      <c r="F79" s="74"/>
      <c r="G79" s="74"/>
      <c r="H79" s="74"/>
      <c r="I79" s="74"/>
      <c r="J79" s="74"/>
      <c r="K79" s="4"/>
      <c r="L79" s="74"/>
      <c r="M79" s="74"/>
      <c r="N79" s="74"/>
      <c r="O79" s="74"/>
    </row>
    <row r="80" spans="1:15" ht="62.4" customHeight="1" x14ac:dyDescent="0.3">
      <c r="A80" s="76"/>
      <c r="B80" s="77"/>
      <c r="C80" s="9"/>
      <c r="D80" s="8"/>
      <c r="E80" s="74"/>
      <c r="F80" s="74"/>
      <c r="G80" s="74"/>
      <c r="H80" s="74"/>
      <c r="I80" s="74"/>
      <c r="J80" s="74"/>
      <c r="K80" s="4"/>
      <c r="L80" s="74"/>
      <c r="M80" s="74"/>
      <c r="N80" s="74"/>
      <c r="O80" s="74"/>
    </row>
    <row r="81" spans="1:15" ht="62.4" customHeight="1" x14ac:dyDescent="0.3">
      <c r="A81" s="76">
        <v>39</v>
      </c>
      <c r="B81" s="77"/>
      <c r="C81" s="9"/>
      <c r="D81" s="1"/>
      <c r="E81" s="74"/>
      <c r="F81" s="74"/>
      <c r="G81" s="74"/>
      <c r="H81" s="74"/>
      <c r="I81" s="74"/>
      <c r="J81" s="74"/>
      <c r="K81" s="4"/>
      <c r="L81" s="74"/>
      <c r="M81" s="74"/>
      <c r="N81" s="74"/>
      <c r="O81" s="74"/>
    </row>
    <row r="82" spans="1:15" ht="62.4" customHeight="1" x14ac:dyDescent="0.3">
      <c r="A82" s="76"/>
      <c r="B82" s="77"/>
      <c r="C82" s="9"/>
      <c r="D82" s="8"/>
      <c r="E82" s="74"/>
      <c r="F82" s="74"/>
      <c r="G82" s="74"/>
      <c r="H82" s="74"/>
      <c r="I82" s="74"/>
      <c r="J82" s="74"/>
      <c r="K82" s="4"/>
      <c r="L82" s="74"/>
      <c r="M82" s="74"/>
      <c r="N82" s="74"/>
      <c r="O82" s="74"/>
    </row>
    <row r="83" spans="1:15" ht="62.4" customHeight="1" x14ac:dyDescent="0.3">
      <c r="A83" s="76">
        <v>40</v>
      </c>
      <c r="B83" s="77"/>
      <c r="C83" s="9"/>
      <c r="D83" s="1"/>
      <c r="E83" s="74"/>
      <c r="F83" s="74"/>
      <c r="G83" s="74"/>
      <c r="H83" s="74"/>
      <c r="I83" s="74"/>
      <c r="J83" s="74"/>
      <c r="K83" s="4"/>
      <c r="L83" s="74"/>
      <c r="M83" s="74"/>
      <c r="N83" s="74"/>
      <c r="O83" s="74"/>
    </row>
    <row r="84" spans="1:15" ht="62.4" customHeight="1" x14ac:dyDescent="0.3">
      <c r="A84" s="76"/>
      <c r="B84" s="77"/>
      <c r="C84" s="9"/>
      <c r="D84" s="8"/>
      <c r="E84" s="74"/>
      <c r="F84" s="74"/>
      <c r="G84" s="74"/>
      <c r="H84" s="74"/>
      <c r="I84" s="74"/>
      <c r="J84" s="74"/>
      <c r="K84" s="4"/>
      <c r="L84" s="74"/>
      <c r="M84" s="74"/>
      <c r="N84" s="74"/>
      <c r="O84" s="74"/>
    </row>
    <row r="85" spans="1:15" x14ac:dyDescent="0.3">
      <c r="A85" s="76">
        <v>41</v>
      </c>
      <c r="B85" s="77"/>
      <c r="C85" s="9"/>
      <c r="D85" s="1"/>
      <c r="E85" s="74"/>
      <c r="F85" s="74"/>
      <c r="G85" s="74"/>
      <c r="H85" s="74"/>
      <c r="I85" s="74"/>
      <c r="J85" s="74"/>
      <c r="K85" s="4"/>
      <c r="L85" s="74"/>
      <c r="M85" s="74"/>
      <c r="N85" s="74"/>
      <c r="O85" s="74"/>
    </row>
    <row r="86" spans="1:15" x14ac:dyDescent="0.3">
      <c r="A86" s="76"/>
      <c r="B86" s="77"/>
      <c r="C86" s="9"/>
      <c r="D86" s="8"/>
      <c r="E86" s="74"/>
      <c r="F86" s="74"/>
      <c r="G86" s="74"/>
      <c r="H86" s="74"/>
      <c r="I86" s="74"/>
      <c r="J86" s="74"/>
      <c r="K86" s="4"/>
      <c r="L86" s="74"/>
      <c r="M86" s="74"/>
      <c r="N86" s="74"/>
      <c r="O86" s="74"/>
    </row>
    <row r="87" spans="1:15" x14ac:dyDescent="0.3">
      <c r="A87" s="76">
        <v>42</v>
      </c>
      <c r="B87" s="77"/>
      <c r="C87" s="9"/>
      <c r="D87" s="1"/>
      <c r="E87" s="74"/>
      <c r="F87" s="74"/>
      <c r="G87" s="74"/>
      <c r="H87" s="74"/>
      <c r="I87" s="74"/>
      <c r="J87" s="74"/>
      <c r="K87" s="4"/>
      <c r="L87" s="74"/>
      <c r="M87" s="74"/>
      <c r="N87" s="74"/>
      <c r="O87" s="74"/>
    </row>
    <row r="88" spans="1:15" x14ac:dyDescent="0.3">
      <c r="A88" s="76"/>
      <c r="B88" s="77"/>
      <c r="C88" s="9"/>
      <c r="D88" s="8"/>
      <c r="E88" s="74"/>
      <c r="F88" s="74"/>
      <c r="G88" s="74"/>
      <c r="H88" s="74"/>
      <c r="I88" s="74"/>
      <c r="J88" s="74"/>
      <c r="K88" s="4"/>
      <c r="L88" s="74"/>
      <c r="M88" s="74"/>
      <c r="N88" s="74"/>
      <c r="O88" s="74"/>
    </row>
    <row r="89" spans="1:15" x14ac:dyDescent="0.3">
      <c r="D89" s="1"/>
    </row>
    <row r="90" spans="1:15" x14ac:dyDescent="0.3">
      <c r="D90" s="1"/>
    </row>
    <row r="91" spans="1:15" x14ac:dyDescent="0.3">
      <c r="D91" s="1"/>
    </row>
    <row r="92" spans="1:15" x14ac:dyDescent="0.3">
      <c r="D92" s="1"/>
    </row>
    <row r="93" spans="1:15" x14ac:dyDescent="0.3">
      <c r="D93" s="1"/>
    </row>
    <row r="94" spans="1:15" x14ac:dyDescent="0.3">
      <c r="D94" s="1"/>
    </row>
    <row r="95" spans="1:15" x14ac:dyDescent="0.3">
      <c r="D95" s="1"/>
    </row>
    <row r="96" spans="1:15" x14ac:dyDescent="0.3">
      <c r="D96" s="1"/>
    </row>
    <row r="97" spans="4:4" x14ac:dyDescent="0.3">
      <c r="D97" s="1"/>
    </row>
    <row r="98" spans="4:4" x14ac:dyDescent="0.3">
      <c r="D98" s="1"/>
    </row>
    <row r="99" spans="4:4" x14ac:dyDescent="0.3">
      <c r="D99" s="1"/>
    </row>
    <row r="100" spans="4:4" x14ac:dyDescent="0.3">
      <c r="D100" s="1"/>
    </row>
    <row r="101" spans="4:4" x14ac:dyDescent="0.3">
      <c r="D101" s="1"/>
    </row>
    <row r="102" spans="4:4" x14ac:dyDescent="0.3">
      <c r="D102" s="1"/>
    </row>
    <row r="103" spans="4:4" x14ac:dyDescent="0.3">
      <c r="D103" s="1"/>
    </row>
    <row r="104" spans="4:4" x14ac:dyDescent="0.3">
      <c r="D104" s="1"/>
    </row>
    <row r="105" spans="4:4" x14ac:dyDescent="0.3">
      <c r="D105" s="1"/>
    </row>
    <row r="106" spans="4:4" x14ac:dyDescent="0.3">
      <c r="D106" s="1"/>
    </row>
    <row r="107" spans="4:4" x14ac:dyDescent="0.3">
      <c r="D107" s="1"/>
    </row>
    <row r="108" spans="4:4" x14ac:dyDescent="0.3">
      <c r="D108" s="1"/>
    </row>
    <row r="109" spans="4:4" x14ac:dyDescent="0.3">
      <c r="D109" s="1"/>
    </row>
    <row r="110" spans="4:4" x14ac:dyDescent="0.3">
      <c r="D110" s="1"/>
    </row>
    <row r="111" spans="4:4" x14ac:dyDescent="0.3">
      <c r="D111" s="1"/>
    </row>
    <row r="112" spans="4:4" x14ac:dyDescent="0.3">
      <c r="D112" s="1"/>
    </row>
    <row r="113" spans="4:4" x14ac:dyDescent="0.3">
      <c r="D113" s="1"/>
    </row>
    <row r="115" spans="4:4" x14ac:dyDescent="0.3">
      <c r="D115" s="1"/>
    </row>
    <row r="116" spans="4:4" x14ac:dyDescent="0.3">
      <c r="D116" s="1"/>
    </row>
    <row r="117" spans="4:4" x14ac:dyDescent="0.3">
      <c r="D117" s="1"/>
    </row>
    <row r="118" spans="4:4" x14ac:dyDescent="0.3">
      <c r="D118" s="1"/>
    </row>
    <row r="119" spans="4:4" x14ac:dyDescent="0.3">
      <c r="D119" s="1"/>
    </row>
    <row r="120" spans="4:4" x14ac:dyDescent="0.3">
      <c r="D120" s="1"/>
    </row>
    <row r="121" spans="4:4" x14ac:dyDescent="0.3">
      <c r="D121" s="1"/>
    </row>
    <row r="122" spans="4:4" x14ac:dyDescent="0.3">
      <c r="D122" s="1"/>
    </row>
    <row r="123" spans="4:4" x14ac:dyDescent="0.3">
      <c r="D123" s="1"/>
    </row>
    <row r="124" spans="4:4" x14ac:dyDescent="0.3">
      <c r="D124" s="1"/>
    </row>
  </sheetData>
  <mergeCells count="535">
    <mergeCell ref="C35:C36"/>
    <mergeCell ref="C37:C38"/>
    <mergeCell ref="C39:C40"/>
    <mergeCell ref="C41:C42"/>
    <mergeCell ref="C43:C44"/>
    <mergeCell ref="C45:C46"/>
    <mergeCell ref="C47:C48"/>
    <mergeCell ref="C49:C50"/>
    <mergeCell ref="C51:C52"/>
    <mergeCell ref="J3:K3"/>
    <mergeCell ref="B11:B12"/>
    <mergeCell ref="N3:N4"/>
    <mergeCell ref="O3:O4"/>
    <mergeCell ref="A39:A40"/>
    <mergeCell ref="A37:A38"/>
    <mergeCell ref="A35:A36"/>
    <mergeCell ref="A5:A6"/>
    <mergeCell ref="A33:A34"/>
    <mergeCell ref="A31:A32"/>
    <mergeCell ref="A29:A30"/>
    <mergeCell ref="A27:A28"/>
    <mergeCell ref="A25:A26"/>
    <mergeCell ref="A23:A24"/>
    <mergeCell ref="A21:A22"/>
    <mergeCell ref="A19:A20"/>
    <mergeCell ref="A17:A18"/>
    <mergeCell ref="A15:A16"/>
    <mergeCell ref="F3:I3"/>
    <mergeCell ref="M3:M4"/>
    <mergeCell ref="L3:L4"/>
    <mergeCell ref="E3:E4"/>
    <mergeCell ref="A13:A14"/>
    <mergeCell ref="A11:A12"/>
    <mergeCell ref="A3:A4"/>
    <mergeCell ref="B13:B14"/>
    <mergeCell ref="B15:B16"/>
    <mergeCell ref="B17:B18"/>
    <mergeCell ref="B19:B20"/>
    <mergeCell ref="D3:D4"/>
    <mergeCell ref="B3:B4"/>
    <mergeCell ref="B7:B8"/>
    <mergeCell ref="B5:B6"/>
    <mergeCell ref="B9:B10"/>
    <mergeCell ref="C5:C6"/>
    <mergeCell ref="C7:C8"/>
    <mergeCell ref="C9:C10"/>
    <mergeCell ref="C11:C12"/>
    <mergeCell ref="C13:C14"/>
    <mergeCell ref="C15:C16"/>
    <mergeCell ref="C17:C18"/>
    <mergeCell ref="C19:C20"/>
    <mergeCell ref="B35:B36"/>
    <mergeCell ref="B37:B38"/>
    <mergeCell ref="B39:B40"/>
    <mergeCell ref="B21:B22"/>
    <mergeCell ref="B23:B24"/>
    <mergeCell ref="B25:B26"/>
    <mergeCell ref="B27:B28"/>
    <mergeCell ref="B29:B30"/>
    <mergeCell ref="A7:A8"/>
    <mergeCell ref="A9:A10"/>
    <mergeCell ref="E23:E24"/>
    <mergeCell ref="E7:E8"/>
    <mergeCell ref="E9:E10"/>
    <mergeCell ref="E13:E14"/>
    <mergeCell ref="E11:E12"/>
    <mergeCell ref="B31:B32"/>
    <mergeCell ref="B33:B34"/>
    <mergeCell ref="C21:C22"/>
    <mergeCell ref="C23:C24"/>
    <mergeCell ref="C25:C26"/>
    <mergeCell ref="C27:C28"/>
    <mergeCell ref="C29:C30"/>
    <mergeCell ref="C31:C32"/>
    <mergeCell ref="C33:C34"/>
    <mergeCell ref="F35:F36"/>
    <mergeCell ref="F37:F38"/>
    <mergeCell ref="F39:F40"/>
    <mergeCell ref="E35:E36"/>
    <mergeCell ref="E37:E38"/>
    <mergeCell ref="E39:E40"/>
    <mergeCell ref="F13:F14"/>
    <mergeCell ref="F15:F16"/>
    <mergeCell ref="F17:F18"/>
    <mergeCell ref="F19:F20"/>
    <mergeCell ref="F21:F22"/>
    <mergeCell ref="F23:F24"/>
    <mergeCell ref="F25:F26"/>
    <mergeCell ref="F27:F28"/>
    <mergeCell ref="F29:F30"/>
    <mergeCell ref="E25:E26"/>
    <mergeCell ref="E27:E28"/>
    <mergeCell ref="E29:E30"/>
    <mergeCell ref="E31:E32"/>
    <mergeCell ref="E33:E34"/>
    <mergeCell ref="E15:E16"/>
    <mergeCell ref="E17:E18"/>
    <mergeCell ref="E19:E20"/>
    <mergeCell ref="E21:E22"/>
    <mergeCell ref="G5:G6"/>
    <mergeCell ref="H5:H6"/>
    <mergeCell ref="I5:I6"/>
    <mergeCell ref="J5:J6"/>
    <mergeCell ref="L5:L6"/>
    <mergeCell ref="N7:N8"/>
    <mergeCell ref="O7:O8"/>
    <mergeCell ref="F31:F32"/>
    <mergeCell ref="F33:F34"/>
    <mergeCell ref="H9:H10"/>
    <mergeCell ref="I9:I10"/>
    <mergeCell ref="J9:J10"/>
    <mergeCell ref="L9:L10"/>
    <mergeCell ref="M5:M6"/>
    <mergeCell ref="N5:N6"/>
    <mergeCell ref="O5:O6"/>
    <mergeCell ref="I7:I8"/>
    <mergeCell ref="J7:J8"/>
    <mergeCell ref="L7:L8"/>
    <mergeCell ref="M7:M8"/>
    <mergeCell ref="G15:G16"/>
    <mergeCell ref="H15:H16"/>
    <mergeCell ref="I15:I16"/>
    <mergeCell ref="J15:J16"/>
    <mergeCell ref="L15:L16"/>
    <mergeCell ref="M15:M16"/>
    <mergeCell ref="N15:N16"/>
    <mergeCell ref="O15:O16"/>
    <mergeCell ref="M9:M10"/>
    <mergeCell ref="O11:O12"/>
    <mergeCell ref="G13:G14"/>
    <mergeCell ref="H13:H14"/>
    <mergeCell ref="I13:I14"/>
    <mergeCell ref="J13:J14"/>
    <mergeCell ref="L13:L14"/>
    <mergeCell ref="M13:M14"/>
    <mergeCell ref="N13:N14"/>
    <mergeCell ref="O13:O14"/>
    <mergeCell ref="N9:N10"/>
    <mergeCell ref="O9:O10"/>
    <mergeCell ref="L11:L12"/>
    <mergeCell ref="M11:M12"/>
    <mergeCell ref="N11:N12"/>
    <mergeCell ref="G9:G10"/>
    <mergeCell ref="M17:M18"/>
    <mergeCell ref="N17:N18"/>
    <mergeCell ref="O17:O18"/>
    <mergeCell ref="G19:G20"/>
    <mergeCell ref="H19:H20"/>
    <mergeCell ref="I19:I20"/>
    <mergeCell ref="J19:J20"/>
    <mergeCell ref="L19:L20"/>
    <mergeCell ref="M19:M20"/>
    <mergeCell ref="N19:N20"/>
    <mergeCell ref="O19:O20"/>
    <mergeCell ref="G17:G18"/>
    <mergeCell ref="H17:H18"/>
    <mergeCell ref="I17:I18"/>
    <mergeCell ref="J17:J18"/>
    <mergeCell ref="L17:L18"/>
    <mergeCell ref="M21:M22"/>
    <mergeCell ref="N21:N22"/>
    <mergeCell ref="O21:O22"/>
    <mergeCell ref="G23:G24"/>
    <mergeCell ref="H23:H24"/>
    <mergeCell ref="I23:I24"/>
    <mergeCell ref="J23:J24"/>
    <mergeCell ref="L23:L24"/>
    <mergeCell ref="M23:M24"/>
    <mergeCell ref="N23:N24"/>
    <mergeCell ref="O23:O24"/>
    <mergeCell ref="G21:G22"/>
    <mergeCell ref="H21:H22"/>
    <mergeCell ref="I21:I22"/>
    <mergeCell ref="J21:J22"/>
    <mergeCell ref="L21:L22"/>
    <mergeCell ref="M25:M26"/>
    <mergeCell ref="N25:N26"/>
    <mergeCell ref="O25:O26"/>
    <mergeCell ref="G27:G28"/>
    <mergeCell ref="H27:H28"/>
    <mergeCell ref="I27:I28"/>
    <mergeCell ref="J27:J28"/>
    <mergeCell ref="L27:L28"/>
    <mergeCell ref="M27:M28"/>
    <mergeCell ref="N27:N28"/>
    <mergeCell ref="O27:O28"/>
    <mergeCell ref="G25:G26"/>
    <mergeCell ref="H25:H26"/>
    <mergeCell ref="I25:I26"/>
    <mergeCell ref="J25:J26"/>
    <mergeCell ref="L25:L26"/>
    <mergeCell ref="M29:M30"/>
    <mergeCell ref="N29:N30"/>
    <mergeCell ref="O29:O30"/>
    <mergeCell ref="G31:G32"/>
    <mergeCell ref="H31:H32"/>
    <mergeCell ref="I31:I32"/>
    <mergeCell ref="J31:J32"/>
    <mergeCell ref="L31:L32"/>
    <mergeCell ref="M31:M32"/>
    <mergeCell ref="N31:N32"/>
    <mergeCell ref="O31:O32"/>
    <mergeCell ref="G29:G30"/>
    <mergeCell ref="H29:H30"/>
    <mergeCell ref="I29:I30"/>
    <mergeCell ref="J29:J30"/>
    <mergeCell ref="L29:L30"/>
    <mergeCell ref="G39:G40"/>
    <mergeCell ref="H39:H40"/>
    <mergeCell ref="I39:I40"/>
    <mergeCell ref="J39:J40"/>
    <mergeCell ref="L39:L40"/>
    <mergeCell ref="M39:M40"/>
    <mergeCell ref="N39:N40"/>
    <mergeCell ref="O39:O40"/>
    <mergeCell ref="G37:G38"/>
    <mergeCell ref="H37:H38"/>
    <mergeCell ref="I37:I38"/>
    <mergeCell ref="J37:J38"/>
    <mergeCell ref="L37:L38"/>
    <mergeCell ref="F11:F12"/>
    <mergeCell ref="G11:G12"/>
    <mergeCell ref="H11:H12"/>
    <mergeCell ref="I11:I12"/>
    <mergeCell ref="J11:J12"/>
    <mergeCell ref="M37:M38"/>
    <mergeCell ref="N37:N38"/>
    <mergeCell ref="O37:O38"/>
    <mergeCell ref="M33:M34"/>
    <mergeCell ref="N33:N34"/>
    <mergeCell ref="O33:O34"/>
    <mergeCell ref="G35:G36"/>
    <mergeCell ref="H35:H36"/>
    <mergeCell ref="I35:I36"/>
    <mergeCell ref="J35:J36"/>
    <mergeCell ref="L35:L36"/>
    <mergeCell ref="M35:M36"/>
    <mergeCell ref="N35:N36"/>
    <mergeCell ref="O35:O36"/>
    <mergeCell ref="G33:G34"/>
    <mergeCell ref="H33:H34"/>
    <mergeCell ref="I33:I34"/>
    <mergeCell ref="J33:J34"/>
    <mergeCell ref="L33:L34"/>
    <mergeCell ref="A41:A42"/>
    <mergeCell ref="A43:A44"/>
    <mergeCell ref="A45:A46"/>
    <mergeCell ref="A47:A48"/>
    <mergeCell ref="A49:A50"/>
    <mergeCell ref="A51:A52"/>
    <mergeCell ref="B41:B42"/>
    <mergeCell ref="B43:B44"/>
    <mergeCell ref="B45:B46"/>
    <mergeCell ref="B47:B48"/>
    <mergeCell ref="B49:B50"/>
    <mergeCell ref="B51:B52"/>
    <mergeCell ref="E41:E42"/>
    <mergeCell ref="E43:E44"/>
    <mergeCell ref="E45:E46"/>
    <mergeCell ref="E47:E48"/>
    <mergeCell ref="E49:E50"/>
    <mergeCell ref="E51:E52"/>
    <mergeCell ref="F41:F42"/>
    <mergeCell ref="G41:G42"/>
    <mergeCell ref="H41:H42"/>
    <mergeCell ref="F45:F46"/>
    <mergeCell ref="G45:G46"/>
    <mergeCell ref="H45:H46"/>
    <mergeCell ref="F49:F50"/>
    <mergeCell ref="G49:G50"/>
    <mergeCell ref="H49:H50"/>
    <mergeCell ref="I41:I42"/>
    <mergeCell ref="J41:J42"/>
    <mergeCell ref="L41:L42"/>
    <mergeCell ref="M41:M42"/>
    <mergeCell ref="N41:N42"/>
    <mergeCell ref="O41:O42"/>
    <mergeCell ref="F43:F44"/>
    <mergeCell ref="G43:G44"/>
    <mergeCell ref="H43:H44"/>
    <mergeCell ref="I43:I44"/>
    <mergeCell ref="J43:J44"/>
    <mergeCell ref="L43:L44"/>
    <mergeCell ref="M43:M44"/>
    <mergeCell ref="N43:N44"/>
    <mergeCell ref="O43:O44"/>
    <mergeCell ref="I45:I46"/>
    <mergeCell ref="J45:J46"/>
    <mergeCell ref="L45:L46"/>
    <mergeCell ref="M45:M46"/>
    <mergeCell ref="N45:N46"/>
    <mergeCell ref="O45:O46"/>
    <mergeCell ref="F47:F48"/>
    <mergeCell ref="G47:G48"/>
    <mergeCell ref="H47:H48"/>
    <mergeCell ref="I47:I48"/>
    <mergeCell ref="J47:J48"/>
    <mergeCell ref="L47:L48"/>
    <mergeCell ref="M47:M48"/>
    <mergeCell ref="N47:N48"/>
    <mergeCell ref="O47:O48"/>
    <mergeCell ref="F51:F52"/>
    <mergeCell ref="G51:G52"/>
    <mergeCell ref="H51:H52"/>
    <mergeCell ref="I51:I52"/>
    <mergeCell ref="J51:J52"/>
    <mergeCell ref="L51:L52"/>
    <mergeCell ref="M51:M52"/>
    <mergeCell ref="N51:N52"/>
    <mergeCell ref="O51:O52"/>
    <mergeCell ref="I53:I54"/>
    <mergeCell ref="J53:J54"/>
    <mergeCell ref="L53:L54"/>
    <mergeCell ref="I49:I50"/>
    <mergeCell ref="J49:J50"/>
    <mergeCell ref="L49:L50"/>
    <mergeCell ref="M49:M50"/>
    <mergeCell ref="N49:N50"/>
    <mergeCell ref="O49:O50"/>
    <mergeCell ref="I57:I58"/>
    <mergeCell ref="J57:J58"/>
    <mergeCell ref="L57:L58"/>
    <mergeCell ref="M53:M54"/>
    <mergeCell ref="N53:N54"/>
    <mergeCell ref="O53:O54"/>
    <mergeCell ref="A55:A56"/>
    <mergeCell ref="B55:B56"/>
    <mergeCell ref="E55:E56"/>
    <mergeCell ref="F55:F56"/>
    <mergeCell ref="G55:G56"/>
    <mergeCell ref="H55:H56"/>
    <mergeCell ref="I55:I56"/>
    <mergeCell ref="J55:J56"/>
    <mergeCell ref="L55:L56"/>
    <mergeCell ref="M55:M56"/>
    <mergeCell ref="N55:N56"/>
    <mergeCell ref="O55:O56"/>
    <mergeCell ref="A53:A54"/>
    <mergeCell ref="B53:B54"/>
    <mergeCell ref="E53:E54"/>
    <mergeCell ref="F53:F54"/>
    <mergeCell ref="G53:G54"/>
    <mergeCell ref="H53:H54"/>
    <mergeCell ref="I61:I62"/>
    <mergeCell ref="J61:J62"/>
    <mergeCell ref="L61:L62"/>
    <mergeCell ref="M57:M58"/>
    <mergeCell ref="N57:N58"/>
    <mergeCell ref="O57:O58"/>
    <mergeCell ref="A59:A60"/>
    <mergeCell ref="B59:B60"/>
    <mergeCell ref="E59:E60"/>
    <mergeCell ref="F59:F60"/>
    <mergeCell ref="G59:G60"/>
    <mergeCell ref="H59:H60"/>
    <mergeCell ref="I59:I60"/>
    <mergeCell ref="J59:J60"/>
    <mergeCell ref="L59:L60"/>
    <mergeCell ref="M59:M60"/>
    <mergeCell ref="N59:N60"/>
    <mergeCell ref="O59:O60"/>
    <mergeCell ref="A57:A58"/>
    <mergeCell ref="B57:B58"/>
    <mergeCell ref="E57:E58"/>
    <mergeCell ref="F57:F58"/>
    <mergeCell ref="G57:G58"/>
    <mergeCell ref="H57:H58"/>
    <mergeCell ref="I65:I66"/>
    <mergeCell ref="J65:J66"/>
    <mergeCell ref="L65:L66"/>
    <mergeCell ref="M61:M62"/>
    <mergeCell ref="N61:N62"/>
    <mergeCell ref="O61:O62"/>
    <mergeCell ref="A63:A64"/>
    <mergeCell ref="B63:B64"/>
    <mergeCell ref="E63:E64"/>
    <mergeCell ref="F63:F64"/>
    <mergeCell ref="G63:G64"/>
    <mergeCell ref="H63:H64"/>
    <mergeCell ref="I63:I64"/>
    <mergeCell ref="J63:J64"/>
    <mergeCell ref="L63:L64"/>
    <mergeCell ref="M63:M64"/>
    <mergeCell ref="N63:N64"/>
    <mergeCell ref="O63:O64"/>
    <mergeCell ref="A61:A62"/>
    <mergeCell ref="B61:B62"/>
    <mergeCell ref="E61:E62"/>
    <mergeCell ref="F61:F62"/>
    <mergeCell ref="G61:G62"/>
    <mergeCell ref="H61:H62"/>
    <mergeCell ref="I69:I70"/>
    <mergeCell ref="J69:J70"/>
    <mergeCell ref="L69:L70"/>
    <mergeCell ref="M65:M66"/>
    <mergeCell ref="N65:N66"/>
    <mergeCell ref="O65:O66"/>
    <mergeCell ref="A67:A68"/>
    <mergeCell ref="B67:B68"/>
    <mergeCell ref="E67:E68"/>
    <mergeCell ref="F67:F68"/>
    <mergeCell ref="G67:G68"/>
    <mergeCell ref="H67:H68"/>
    <mergeCell ref="I67:I68"/>
    <mergeCell ref="J67:J68"/>
    <mergeCell ref="L67:L68"/>
    <mergeCell ref="M67:M68"/>
    <mergeCell ref="N67:N68"/>
    <mergeCell ref="O67:O68"/>
    <mergeCell ref="A65:A66"/>
    <mergeCell ref="B65:B66"/>
    <mergeCell ref="E65:E66"/>
    <mergeCell ref="F65:F66"/>
    <mergeCell ref="G65:G66"/>
    <mergeCell ref="H65:H66"/>
    <mergeCell ref="I73:I74"/>
    <mergeCell ref="J73:J74"/>
    <mergeCell ref="L73:L74"/>
    <mergeCell ref="M69:M70"/>
    <mergeCell ref="N69:N70"/>
    <mergeCell ref="O69:O70"/>
    <mergeCell ref="A71:A72"/>
    <mergeCell ref="B71:B72"/>
    <mergeCell ref="E71:E72"/>
    <mergeCell ref="F71:F72"/>
    <mergeCell ref="G71:G72"/>
    <mergeCell ref="H71:H72"/>
    <mergeCell ref="I71:I72"/>
    <mergeCell ref="J71:J72"/>
    <mergeCell ref="L71:L72"/>
    <mergeCell ref="M71:M72"/>
    <mergeCell ref="N71:N72"/>
    <mergeCell ref="O71:O72"/>
    <mergeCell ref="A69:A70"/>
    <mergeCell ref="B69:B70"/>
    <mergeCell ref="E69:E70"/>
    <mergeCell ref="F69:F70"/>
    <mergeCell ref="G69:G70"/>
    <mergeCell ref="H69:H70"/>
    <mergeCell ref="I77:I78"/>
    <mergeCell ref="J77:J78"/>
    <mergeCell ref="L77:L78"/>
    <mergeCell ref="M73:M74"/>
    <mergeCell ref="N73:N74"/>
    <mergeCell ref="O73:O74"/>
    <mergeCell ref="A75:A76"/>
    <mergeCell ref="B75:B76"/>
    <mergeCell ref="E75:E76"/>
    <mergeCell ref="F75:F76"/>
    <mergeCell ref="G75:G76"/>
    <mergeCell ref="H75:H76"/>
    <mergeCell ref="I75:I76"/>
    <mergeCell ref="J75:J76"/>
    <mergeCell ref="L75:L76"/>
    <mergeCell ref="M75:M76"/>
    <mergeCell ref="N75:N76"/>
    <mergeCell ref="O75:O76"/>
    <mergeCell ref="A73:A74"/>
    <mergeCell ref="B73:B74"/>
    <mergeCell ref="E73:E74"/>
    <mergeCell ref="F73:F74"/>
    <mergeCell ref="G73:G74"/>
    <mergeCell ref="H73:H74"/>
    <mergeCell ref="I81:I82"/>
    <mergeCell ref="J81:J82"/>
    <mergeCell ref="L81:L82"/>
    <mergeCell ref="M77:M78"/>
    <mergeCell ref="N77:N78"/>
    <mergeCell ref="O77:O78"/>
    <mergeCell ref="A79:A80"/>
    <mergeCell ref="B79:B80"/>
    <mergeCell ref="E79:E80"/>
    <mergeCell ref="F79:F80"/>
    <mergeCell ref="G79:G80"/>
    <mergeCell ref="H79:H80"/>
    <mergeCell ref="I79:I80"/>
    <mergeCell ref="J79:J80"/>
    <mergeCell ref="L79:L80"/>
    <mergeCell ref="M79:M80"/>
    <mergeCell ref="N79:N80"/>
    <mergeCell ref="O79:O80"/>
    <mergeCell ref="A77:A78"/>
    <mergeCell ref="B77:B78"/>
    <mergeCell ref="E77:E78"/>
    <mergeCell ref="F77:F78"/>
    <mergeCell ref="G77:G78"/>
    <mergeCell ref="H77:H78"/>
    <mergeCell ref="I85:I86"/>
    <mergeCell ref="J85:J86"/>
    <mergeCell ref="L85:L86"/>
    <mergeCell ref="M81:M82"/>
    <mergeCell ref="N81:N82"/>
    <mergeCell ref="O81:O82"/>
    <mergeCell ref="A83:A84"/>
    <mergeCell ref="B83:B84"/>
    <mergeCell ref="E83:E84"/>
    <mergeCell ref="F83:F84"/>
    <mergeCell ref="G83:G84"/>
    <mergeCell ref="H83:H84"/>
    <mergeCell ref="I83:I84"/>
    <mergeCell ref="J83:J84"/>
    <mergeCell ref="L83:L84"/>
    <mergeCell ref="M83:M84"/>
    <mergeCell ref="N83:N84"/>
    <mergeCell ref="O83:O84"/>
    <mergeCell ref="A81:A82"/>
    <mergeCell ref="B81:B82"/>
    <mergeCell ref="E81:E82"/>
    <mergeCell ref="F81:F82"/>
    <mergeCell ref="G81:G82"/>
    <mergeCell ref="H81:H82"/>
    <mergeCell ref="E5:E6"/>
    <mergeCell ref="F5:F6"/>
    <mergeCell ref="C3:C4"/>
    <mergeCell ref="M85:M86"/>
    <mergeCell ref="N85:N86"/>
    <mergeCell ref="O85:O86"/>
    <mergeCell ref="A87:A88"/>
    <mergeCell ref="B87:B88"/>
    <mergeCell ref="E87:E88"/>
    <mergeCell ref="F87:F88"/>
    <mergeCell ref="G87:G88"/>
    <mergeCell ref="H87:H88"/>
    <mergeCell ref="I87:I88"/>
    <mergeCell ref="J87:J88"/>
    <mergeCell ref="L87:L88"/>
    <mergeCell ref="M87:M88"/>
    <mergeCell ref="N87:N88"/>
    <mergeCell ref="O87:O88"/>
    <mergeCell ref="A85:A86"/>
    <mergeCell ref="B85:B86"/>
    <mergeCell ref="E85:E86"/>
    <mergeCell ref="F85:F86"/>
    <mergeCell ref="G85:G86"/>
    <mergeCell ref="H85:H86"/>
  </mergeCells>
  <hyperlinks>
    <hyperlink ref="D6" r:id="rId1" xr:uid="{5ABC66A9-ADB4-4397-8598-0F5FBB69D219}"/>
    <hyperlink ref="D10" r:id="rId2" xr:uid="{1D5ABD83-D547-4468-994F-99032B4AA781}"/>
    <hyperlink ref="D14" r:id="rId3" xr:uid="{F3C8BAC4-D217-4717-B09B-6458CE8A0F36}"/>
    <hyperlink ref="D16" r:id="rId4" xr:uid="{00936CAF-4C48-4241-9B44-B5EC9437B456}"/>
    <hyperlink ref="D18" r:id="rId5" xr:uid="{062A2251-891D-469C-A420-273B58E5A1CA}"/>
    <hyperlink ref="D20" r:id="rId6" xr:uid="{E5B39204-9F5F-42C0-8F69-541CC43D45A0}"/>
    <hyperlink ref="D22" r:id="rId7" xr:uid="{7D46CB65-5FB8-4351-8254-2FAB81E12BFA}"/>
    <hyperlink ref="D24" r:id="rId8" xr:uid="{5935ADFE-47C0-4CEB-9D3C-D102DD0ED1D8}"/>
    <hyperlink ref="D26" r:id="rId9" xr:uid="{77A46890-E362-49EF-A92C-A80B837BBEF4}"/>
    <hyperlink ref="D28" r:id="rId10" location=":~:text=88%25%20of%20patients%20agreed%20that,%2Dperson%20visits%20%5B56%5D." xr:uid="{B63E5D54-3ECC-43F2-838C-59C9A9B791ED}"/>
    <hyperlink ref="D30" r:id="rId11" xr:uid="{43E2C59C-4675-493A-87CC-5C5CE37E6F21}"/>
    <hyperlink ref="D32" r:id="rId12" xr:uid="{EAE09C14-C49B-47B9-BA0B-A340C6D730FB}"/>
    <hyperlink ref="D8" r:id="rId13" xr:uid="{34091DC7-2B6E-4D1C-B7F8-2CDFF5CB57DC}"/>
    <hyperlink ref="D12" r:id="rId14" xr:uid="{D060E6E9-2235-4322-9643-8C49076C06C7}"/>
    <hyperlink ref="D34" r:id="rId15" xr:uid="{5A004CC6-0C1C-4BEB-B3DB-D4C3DE227C54}"/>
    <hyperlink ref="D36" r:id="rId16" xr:uid="{6CDCD7B9-4BFD-47A9-B515-6686A858C655}"/>
    <hyperlink ref="D38" r:id="rId17" xr:uid="{6440E82D-6488-44D6-995B-3FAD9041427F}"/>
    <hyperlink ref="D40" r:id="rId18" xr:uid="{2FC6593E-5E61-4E37-832A-0E9FA7753DA0}"/>
    <hyperlink ref="D44" r:id="rId19" xr:uid="{553BF8C4-AC3D-492B-AD4D-9BE8AF1293AF}"/>
    <hyperlink ref="D46" r:id="rId20" xr:uid="{CE918276-AF71-4E75-9F05-864B3DBF61B2}"/>
    <hyperlink ref="D48" r:id="rId21" xr:uid="{97308C30-8EFE-401B-ACE9-BF58F2E987F8}"/>
    <hyperlink ref="D50" r:id="rId22" xr:uid="{AF783BA7-270A-42BE-BEF1-E71F643B939E}"/>
    <hyperlink ref="D52" r:id="rId23" xr:uid="{7F06AC26-F572-4A69-9F9F-E5F38DE065B0}"/>
    <hyperlink ref="D42" r:id="rId24" xr:uid="{D6B40101-EF61-433E-A5AB-83C5E4595334}"/>
    <hyperlink ref="D56" r:id="rId25" xr:uid="{947DCF58-2D4F-4AF9-8F85-F35F9748D8F7}"/>
    <hyperlink ref="D58" r:id="rId26" xr:uid="{E68EBBCF-02CF-446D-80EC-D5ECAE00F521}"/>
  </hyperlinks>
  <pageMargins left="0.7" right="0.7" top="0.75" bottom="0.75" header="0.3" footer="0.3"/>
  <pageSetup paperSize="9" orientation="portrait"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FE35-F6FB-4F91-9F1A-E5264F3B879C}">
  <dimension ref="A3:BF47"/>
  <sheetViews>
    <sheetView topLeftCell="S1" zoomScale="80" zoomScaleNormal="80" workbookViewId="0">
      <selection activeCell="AL39" sqref="AL39"/>
    </sheetView>
  </sheetViews>
  <sheetFormatPr defaultRowHeight="14.4" x14ac:dyDescent="0.3"/>
  <cols>
    <col min="2" max="3" width="9.5546875" customWidth="1"/>
    <col min="4" max="4" width="24.109375" customWidth="1"/>
    <col min="5" max="28" width="3.33203125" style="11" customWidth="1"/>
    <col min="29" max="29" width="4.44140625" customWidth="1"/>
    <col min="31" max="31" width="17.77734375" customWidth="1"/>
    <col min="32" max="55" width="3.44140625" customWidth="1"/>
    <col min="56" max="58" width="3.77734375" customWidth="1"/>
  </cols>
  <sheetData>
    <row r="3" spans="1:58" x14ac:dyDescent="0.3">
      <c r="E3" s="2"/>
      <c r="F3" s="2"/>
      <c r="G3" s="2" t="s">
        <v>284</v>
      </c>
      <c r="H3" s="2"/>
      <c r="I3" s="2"/>
      <c r="J3" s="2"/>
      <c r="K3" s="2" t="s">
        <v>284</v>
      </c>
      <c r="L3" s="2"/>
      <c r="M3" s="2"/>
      <c r="N3" s="2"/>
      <c r="O3" s="2"/>
      <c r="P3" s="2"/>
      <c r="Q3" s="2"/>
      <c r="R3" s="2"/>
      <c r="S3" s="2" t="s">
        <v>284</v>
      </c>
      <c r="T3" s="2" t="s">
        <v>284</v>
      </c>
      <c r="U3" s="2"/>
    </row>
    <row r="4" spans="1:58" x14ac:dyDescent="0.3">
      <c r="D4" s="14" t="s">
        <v>4</v>
      </c>
      <c r="E4" s="13" t="s">
        <v>283</v>
      </c>
      <c r="F4" s="13" t="s">
        <v>282</v>
      </c>
      <c r="G4" s="13" t="s">
        <v>281</v>
      </c>
      <c r="H4" s="20" t="s">
        <v>280</v>
      </c>
      <c r="I4" s="13" t="s">
        <v>279</v>
      </c>
      <c r="J4" s="13" t="s">
        <v>278</v>
      </c>
      <c r="K4" s="20" t="s">
        <v>277</v>
      </c>
      <c r="L4" s="13" t="s">
        <v>276</v>
      </c>
      <c r="M4" s="13" t="s">
        <v>275</v>
      </c>
      <c r="N4" s="13" t="s">
        <v>274</v>
      </c>
      <c r="O4" s="13" t="s">
        <v>273</v>
      </c>
      <c r="P4" s="13" t="s">
        <v>272</v>
      </c>
      <c r="Q4" s="13" t="s">
        <v>271</v>
      </c>
      <c r="R4" s="13" t="s">
        <v>270</v>
      </c>
      <c r="S4" s="13" t="s">
        <v>269</v>
      </c>
      <c r="T4" s="13" t="s">
        <v>268</v>
      </c>
      <c r="U4" s="20" t="s">
        <v>267</v>
      </c>
      <c r="V4" s="13" t="s">
        <v>351</v>
      </c>
      <c r="W4" s="13" t="s">
        <v>352</v>
      </c>
      <c r="X4" s="13" t="s">
        <v>353</v>
      </c>
      <c r="Y4" s="13" t="s">
        <v>354</v>
      </c>
      <c r="Z4" s="13" t="s">
        <v>355</v>
      </c>
      <c r="AA4" s="13" t="s">
        <v>356</v>
      </c>
      <c r="AB4" s="13" t="s">
        <v>357</v>
      </c>
      <c r="AC4" s="18" t="s">
        <v>285</v>
      </c>
      <c r="AE4" s="25"/>
      <c r="AF4" s="36" t="s">
        <v>283</v>
      </c>
      <c r="AG4" s="26" t="s">
        <v>282</v>
      </c>
      <c r="AH4" s="26" t="s">
        <v>281</v>
      </c>
      <c r="AI4" s="26" t="s">
        <v>280</v>
      </c>
      <c r="AJ4" s="26" t="s">
        <v>279</v>
      </c>
      <c r="AK4" s="26" t="s">
        <v>278</v>
      </c>
      <c r="AL4" s="26" t="s">
        <v>277</v>
      </c>
      <c r="AM4" s="26" t="s">
        <v>276</v>
      </c>
      <c r="AN4" s="26" t="s">
        <v>275</v>
      </c>
      <c r="AO4" s="26" t="s">
        <v>274</v>
      </c>
      <c r="AP4" s="26" t="s">
        <v>273</v>
      </c>
      <c r="AQ4" s="26" t="s">
        <v>272</v>
      </c>
      <c r="AR4" s="26" t="s">
        <v>271</v>
      </c>
      <c r="AS4" s="26" t="s">
        <v>270</v>
      </c>
      <c r="AT4" s="26" t="s">
        <v>269</v>
      </c>
      <c r="AU4" s="26" t="s">
        <v>268</v>
      </c>
      <c r="AV4" s="26" t="s">
        <v>267</v>
      </c>
      <c r="AW4" s="26" t="s">
        <v>351</v>
      </c>
      <c r="AX4" s="26" t="s">
        <v>352</v>
      </c>
      <c r="AY4" s="26" t="s">
        <v>353</v>
      </c>
      <c r="AZ4" s="26" t="s">
        <v>354</v>
      </c>
      <c r="BA4" s="26" t="s">
        <v>355</v>
      </c>
      <c r="BB4" s="26" t="s">
        <v>356</v>
      </c>
      <c r="BC4" s="26" t="s">
        <v>357</v>
      </c>
      <c r="BD4" s="27" t="s">
        <v>406</v>
      </c>
      <c r="BE4" s="28" t="s">
        <v>404</v>
      </c>
      <c r="BF4" s="29" t="s">
        <v>405</v>
      </c>
    </row>
    <row r="5" spans="1:58" x14ac:dyDescent="0.3">
      <c r="A5">
        <v>1</v>
      </c>
      <c r="D5" s="47" t="s">
        <v>408</v>
      </c>
      <c r="E5" s="2" t="s">
        <v>261</v>
      </c>
      <c r="F5" s="2" t="s">
        <v>261</v>
      </c>
      <c r="G5" s="2" t="s">
        <v>261</v>
      </c>
      <c r="H5" s="21"/>
      <c r="I5" s="2" t="s">
        <v>261</v>
      </c>
      <c r="J5" s="2" t="s">
        <v>261</v>
      </c>
      <c r="K5" s="21"/>
      <c r="L5" s="2" t="s">
        <v>261</v>
      </c>
      <c r="M5" s="2" t="s">
        <v>261</v>
      </c>
      <c r="N5" s="2"/>
      <c r="O5" s="2" t="s">
        <v>261</v>
      </c>
      <c r="P5" s="2" t="s">
        <v>261</v>
      </c>
      <c r="Q5" s="2" t="s">
        <v>261</v>
      </c>
      <c r="R5" s="2" t="s">
        <v>261</v>
      </c>
      <c r="S5" s="2" t="s">
        <v>261</v>
      </c>
      <c r="T5" s="2" t="s">
        <v>261</v>
      </c>
      <c r="U5" s="21"/>
      <c r="V5" s="11" t="s">
        <v>261</v>
      </c>
      <c r="W5" s="2" t="s">
        <v>261</v>
      </c>
      <c r="X5" s="2" t="s">
        <v>261</v>
      </c>
      <c r="Y5" s="2" t="s">
        <v>261</v>
      </c>
      <c r="Z5" s="2" t="s">
        <v>261</v>
      </c>
      <c r="AB5" s="11" t="s">
        <v>261</v>
      </c>
      <c r="AC5" s="15">
        <f t="shared" ref="AC5:AC44" si="0">COUNTIF(E5:AB5,"x")</f>
        <v>19</v>
      </c>
      <c r="AE5" s="19" t="s">
        <v>142</v>
      </c>
      <c r="AF5" s="2" t="s">
        <v>395</v>
      </c>
      <c r="AG5" s="2" t="s">
        <v>396</v>
      </c>
      <c r="AH5" s="2" t="s">
        <v>395</v>
      </c>
      <c r="AI5" s="21"/>
      <c r="AJ5" s="2" t="s">
        <v>395</v>
      </c>
      <c r="AK5" s="2" t="s">
        <v>396</v>
      </c>
      <c r="AL5" s="21"/>
      <c r="AM5" s="2" t="s">
        <v>396</v>
      </c>
      <c r="AN5" s="2" t="s">
        <v>395</v>
      </c>
      <c r="AO5" s="37"/>
      <c r="AP5" s="2" t="s">
        <v>395</v>
      </c>
      <c r="AQ5" s="2" t="s">
        <v>395</v>
      </c>
      <c r="AR5" s="2" t="s">
        <v>395</v>
      </c>
      <c r="AS5" s="2" t="s">
        <v>396</v>
      </c>
      <c r="AT5" s="2" t="s">
        <v>395</v>
      </c>
      <c r="AU5" s="2" t="s">
        <v>395</v>
      </c>
      <c r="AV5" s="21"/>
      <c r="AW5" s="11" t="s">
        <v>396</v>
      </c>
      <c r="AX5" s="2" t="s">
        <v>396</v>
      </c>
      <c r="AY5" s="2" t="s">
        <v>395</v>
      </c>
      <c r="AZ5" s="2" t="s">
        <v>396</v>
      </c>
      <c r="BA5" s="2" t="s">
        <v>395</v>
      </c>
      <c r="BB5" s="39"/>
      <c r="BC5" s="11" t="s">
        <v>395</v>
      </c>
      <c r="BD5" s="23">
        <f>COUNTIF(AF5:BC5,"i")</f>
        <v>0</v>
      </c>
      <c r="BE5" s="66">
        <f>COUNTIF(AF5:BC5,"mo")</f>
        <v>7</v>
      </c>
      <c r="BF5" s="24">
        <f>COUNTIF(AG5:BD5,"me")</f>
        <v>0</v>
      </c>
    </row>
    <row r="6" spans="1:58" x14ac:dyDescent="0.3">
      <c r="A6">
        <v>2</v>
      </c>
      <c r="B6" t="s">
        <v>399</v>
      </c>
      <c r="D6" s="48" t="s">
        <v>409</v>
      </c>
      <c r="E6" s="2"/>
      <c r="F6" s="2" t="s">
        <v>261</v>
      </c>
      <c r="G6" s="2"/>
      <c r="H6" s="21"/>
      <c r="I6" s="2"/>
      <c r="J6" s="2" t="s">
        <v>261</v>
      </c>
      <c r="K6" s="21"/>
      <c r="L6" s="2" t="s">
        <v>261</v>
      </c>
      <c r="M6" s="2" t="s">
        <v>261</v>
      </c>
      <c r="N6" s="2" t="s">
        <v>261</v>
      </c>
      <c r="O6" s="2"/>
      <c r="P6" s="2" t="s">
        <v>261</v>
      </c>
      <c r="Q6" s="2" t="s">
        <v>261</v>
      </c>
      <c r="R6" s="2" t="s">
        <v>261</v>
      </c>
      <c r="S6" s="2" t="s">
        <v>261</v>
      </c>
      <c r="T6" s="2"/>
      <c r="U6" s="21"/>
      <c r="V6" s="11" t="s">
        <v>261</v>
      </c>
      <c r="X6" s="11" t="s">
        <v>261</v>
      </c>
      <c r="Y6" s="11" t="s">
        <v>261</v>
      </c>
      <c r="Z6" s="11" t="s">
        <v>261</v>
      </c>
      <c r="AA6" s="11" t="s">
        <v>261</v>
      </c>
      <c r="AB6" s="11" t="s">
        <v>261</v>
      </c>
      <c r="AC6" s="15">
        <f t="shared" si="0"/>
        <v>15</v>
      </c>
      <c r="AE6" s="15" t="s">
        <v>263</v>
      </c>
      <c r="AF6" s="2"/>
      <c r="AG6" s="2" t="s">
        <v>397</v>
      </c>
      <c r="AH6" s="2"/>
      <c r="AI6" s="21"/>
      <c r="AJ6" s="2"/>
      <c r="AK6" s="2" t="s">
        <v>397</v>
      </c>
      <c r="AL6" s="21"/>
      <c r="AM6" s="2" t="s">
        <v>397</v>
      </c>
      <c r="AN6" s="2" t="s">
        <v>397</v>
      </c>
      <c r="AO6" s="37"/>
      <c r="AP6" s="2"/>
      <c r="AQ6" s="2" t="s">
        <v>397</v>
      </c>
      <c r="AR6" s="2" t="s">
        <v>397</v>
      </c>
      <c r="AS6" s="2" t="s">
        <v>396</v>
      </c>
      <c r="AT6" s="2" t="s">
        <v>397</v>
      </c>
      <c r="AU6" s="2"/>
      <c r="AV6" s="21"/>
      <c r="AW6" s="11" t="s">
        <v>397</v>
      </c>
      <c r="AX6" s="11"/>
      <c r="AY6" s="11" t="s">
        <v>397</v>
      </c>
      <c r="AZ6" s="11" t="s">
        <v>397</v>
      </c>
      <c r="BA6" s="11" t="s">
        <v>397</v>
      </c>
      <c r="BB6" s="39"/>
      <c r="BC6" s="11" t="s">
        <v>396</v>
      </c>
      <c r="BD6" s="22">
        <f t="shared" ref="BD6:BD13" si="1">COUNTIF(AF6:BC6,"i")</f>
        <v>11</v>
      </c>
      <c r="BE6">
        <f t="shared" ref="BE6:BE13" si="2">COUNTIF(AF6:BC6,"mo")</f>
        <v>2</v>
      </c>
      <c r="BF6" s="7">
        <f t="shared" ref="BF6:BF12" si="3">COUNTIF(AF6:BC6,"me")</f>
        <v>0</v>
      </c>
    </row>
    <row r="7" spans="1:58" x14ac:dyDescent="0.3">
      <c r="A7">
        <v>3</v>
      </c>
      <c r="B7" t="s">
        <v>394</v>
      </c>
      <c r="D7" s="48" t="s">
        <v>410</v>
      </c>
      <c r="E7" s="2"/>
      <c r="F7" s="2"/>
      <c r="G7" s="2"/>
      <c r="H7" s="21"/>
      <c r="I7" s="2"/>
      <c r="J7" s="2"/>
      <c r="K7" s="21"/>
      <c r="L7" s="2" t="s">
        <v>261</v>
      </c>
      <c r="M7" s="2"/>
      <c r="N7" s="2" t="s">
        <v>261</v>
      </c>
      <c r="O7" s="2" t="s">
        <v>261</v>
      </c>
      <c r="P7" s="2" t="s">
        <v>261</v>
      </c>
      <c r="Q7" s="2" t="s">
        <v>261</v>
      </c>
      <c r="R7" s="2" t="s">
        <v>261</v>
      </c>
      <c r="S7" s="2" t="s">
        <v>261</v>
      </c>
      <c r="T7" s="2"/>
      <c r="U7" s="21"/>
      <c r="V7" s="11" t="s">
        <v>261</v>
      </c>
      <c r="W7" s="2" t="s">
        <v>261</v>
      </c>
      <c r="X7" s="2" t="s">
        <v>261</v>
      </c>
      <c r="Z7" s="2" t="s">
        <v>261</v>
      </c>
      <c r="AA7" s="2" t="s">
        <v>261</v>
      </c>
      <c r="AB7" s="2" t="s">
        <v>261</v>
      </c>
      <c r="AC7" s="15">
        <f t="shared" si="0"/>
        <v>13</v>
      </c>
      <c r="AE7" s="15" t="s">
        <v>266</v>
      </c>
      <c r="AF7" s="2"/>
      <c r="AG7" s="2"/>
      <c r="AH7" s="2"/>
      <c r="AI7" s="21"/>
      <c r="AJ7" s="2"/>
      <c r="AK7" s="2"/>
      <c r="AL7" s="21"/>
      <c r="AM7" s="2" t="s">
        <v>397</v>
      </c>
      <c r="AN7" s="2"/>
      <c r="AO7" s="37"/>
      <c r="AP7" s="2" t="s">
        <v>397</v>
      </c>
      <c r="AQ7" s="2" t="s">
        <v>397</v>
      </c>
      <c r="AR7" s="2" t="s">
        <v>397</v>
      </c>
      <c r="AS7" s="2" t="s">
        <v>397</v>
      </c>
      <c r="AT7" s="2" t="s">
        <v>397</v>
      </c>
      <c r="AU7" s="2"/>
      <c r="AV7" s="21"/>
      <c r="AW7" s="11" t="s">
        <v>397</v>
      </c>
      <c r="AX7" s="2" t="s">
        <v>396</v>
      </c>
      <c r="AY7" s="2" t="s">
        <v>396</v>
      </c>
      <c r="AZ7" s="11"/>
      <c r="BA7" s="2" t="s">
        <v>397</v>
      </c>
      <c r="BB7" s="37"/>
      <c r="BC7" s="2" t="s">
        <v>396</v>
      </c>
      <c r="BD7" s="22">
        <f t="shared" si="1"/>
        <v>8</v>
      </c>
      <c r="BE7">
        <f t="shared" si="2"/>
        <v>3</v>
      </c>
      <c r="BF7" s="7">
        <f t="shared" si="3"/>
        <v>0</v>
      </c>
    </row>
    <row r="8" spans="1:58" x14ac:dyDescent="0.3">
      <c r="A8">
        <v>4</v>
      </c>
      <c r="D8" s="47" t="s">
        <v>411</v>
      </c>
      <c r="E8" s="2"/>
      <c r="F8" s="2" t="s">
        <v>261</v>
      </c>
      <c r="G8" s="2"/>
      <c r="H8" s="21"/>
      <c r="I8" s="2"/>
      <c r="J8" s="2" t="s">
        <v>261</v>
      </c>
      <c r="K8" s="21"/>
      <c r="L8" s="2" t="s">
        <v>261</v>
      </c>
      <c r="M8" s="2"/>
      <c r="N8" s="2"/>
      <c r="O8" s="2" t="s">
        <v>261</v>
      </c>
      <c r="P8" s="2" t="s">
        <v>261</v>
      </c>
      <c r="Q8" s="2"/>
      <c r="R8" s="2" t="s">
        <v>261</v>
      </c>
      <c r="S8" s="2"/>
      <c r="T8" s="2" t="s">
        <v>261</v>
      </c>
      <c r="U8" s="21"/>
      <c r="V8" s="11" t="s">
        <v>261</v>
      </c>
      <c r="Y8" s="11" t="s">
        <v>261</v>
      </c>
      <c r="AC8" s="15">
        <f t="shared" si="0"/>
        <v>9</v>
      </c>
      <c r="AE8" s="19" t="s">
        <v>265</v>
      </c>
      <c r="AF8" s="2"/>
      <c r="AG8" s="2" t="s">
        <v>395</v>
      </c>
      <c r="AH8" s="2"/>
      <c r="AI8" s="21"/>
      <c r="AJ8" s="2"/>
      <c r="AK8" s="2" t="s">
        <v>395</v>
      </c>
      <c r="AL8" s="21"/>
      <c r="AM8" s="2" t="s">
        <v>395</v>
      </c>
      <c r="AN8" s="2"/>
      <c r="AO8" s="37"/>
      <c r="AP8" s="2" t="s">
        <v>395</v>
      </c>
      <c r="AQ8" s="2" t="s">
        <v>395</v>
      </c>
      <c r="AR8" s="2"/>
      <c r="AS8" s="2" t="s">
        <v>395</v>
      </c>
      <c r="AT8" s="2"/>
      <c r="AU8" s="2" t="s">
        <v>395</v>
      </c>
      <c r="AV8" s="21"/>
      <c r="AW8" s="11" t="s">
        <v>395</v>
      </c>
      <c r="AX8" s="11"/>
      <c r="AY8" s="11"/>
      <c r="AZ8" s="11" t="s">
        <v>395</v>
      </c>
      <c r="BA8" s="11"/>
      <c r="BB8" s="39"/>
      <c r="BC8" s="11"/>
      <c r="BD8" s="23">
        <f t="shared" si="1"/>
        <v>0</v>
      </c>
      <c r="BE8" s="24">
        <f t="shared" si="2"/>
        <v>0</v>
      </c>
      <c r="BF8" s="30">
        <f t="shared" si="3"/>
        <v>0</v>
      </c>
    </row>
    <row r="9" spans="1:58" x14ac:dyDescent="0.3">
      <c r="A9">
        <v>5</v>
      </c>
      <c r="B9" t="s">
        <v>457</v>
      </c>
      <c r="D9" s="48" t="s">
        <v>412</v>
      </c>
      <c r="E9" s="2"/>
      <c r="F9" s="2" t="s">
        <v>261</v>
      </c>
      <c r="G9" s="2" t="s">
        <v>261</v>
      </c>
      <c r="H9" s="21"/>
      <c r="I9" s="2" t="s">
        <v>261</v>
      </c>
      <c r="J9" s="2"/>
      <c r="K9" s="21"/>
      <c r="L9" s="2"/>
      <c r="M9" s="2" t="s">
        <v>261</v>
      </c>
      <c r="N9" s="2"/>
      <c r="O9" s="2"/>
      <c r="P9" s="2" t="s">
        <v>261</v>
      </c>
      <c r="Q9" s="2"/>
      <c r="R9" s="2"/>
      <c r="S9" s="2"/>
      <c r="T9" s="2"/>
      <c r="U9" s="21"/>
      <c r="X9" s="11" t="s">
        <v>261</v>
      </c>
      <c r="Z9" s="11" t="s">
        <v>261</v>
      </c>
      <c r="AB9" s="11" t="s">
        <v>261</v>
      </c>
      <c r="AC9" s="15">
        <f t="shared" si="0"/>
        <v>8</v>
      </c>
      <c r="AE9" s="15" t="s">
        <v>264</v>
      </c>
      <c r="AF9" s="2"/>
      <c r="AG9" s="2" t="s">
        <v>396</v>
      </c>
      <c r="AH9" s="2" t="s">
        <v>397</v>
      </c>
      <c r="AI9" s="21"/>
      <c r="AJ9" s="2" t="s">
        <v>397</v>
      </c>
      <c r="AK9" s="2"/>
      <c r="AL9" s="21"/>
      <c r="AM9" s="2"/>
      <c r="AN9" s="2" t="s">
        <v>397</v>
      </c>
      <c r="AO9" s="37"/>
      <c r="AP9" s="2"/>
      <c r="AQ9" s="2" t="s">
        <v>397</v>
      </c>
      <c r="AR9" s="2"/>
      <c r="AS9" s="2"/>
      <c r="AT9" s="2"/>
      <c r="AU9" s="2"/>
      <c r="AV9" s="21"/>
      <c r="AW9" s="11"/>
      <c r="AX9" s="11"/>
      <c r="AY9" s="11" t="s">
        <v>397</v>
      </c>
      <c r="AZ9" s="11"/>
      <c r="BA9" s="11" t="s">
        <v>397</v>
      </c>
      <c r="BB9" s="39"/>
      <c r="BC9" s="11" t="s">
        <v>397</v>
      </c>
      <c r="BD9" s="22">
        <f t="shared" si="1"/>
        <v>7</v>
      </c>
      <c r="BE9">
        <f t="shared" si="2"/>
        <v>1</v>
      </c>
      <c r="BF9" s="7">
        <f t="shared" si="3"/>
        <v>0</v>
      </c>
    </row>
    <row r="10" spans="1:58" x14ac:dyDescent="0.3">
      <c r="A10">
        <v>6</v>
      </c>
      <c r="B10" t="s">
        <v>458</v>
      </c>
      <c r="D10" s="48" t="s">
        <v>413</v>
      </c>
      <c r="E10" s="2"/>
      <c r="F10" s="2" t="s">
        <v>261</v>
      </c>
      <c r="G10" s="2"/>
      <c r="H10" s="21"/>
      <c r="I10" s="2"/>
      <c r="J10" s="2"/>
      <c r="K10" s="21"/>
      <c r="L10" s="2"/>
      <c r="M10" s="2" t="s">
        <v>261</v>
      </c>
      <c r="N10" s="2" t="s">
        <v>261</v>
      </c>
      <c r="O10" s="2" t="s">
        <v>261</v>
      </c>
      <c r="P10" s="2"/>
      <c r="Q10" s="2"/>
      <c r="R10" s="2" t="s">
        <v>261</v>
      </c>
      <c r="S10" s="2"/>
      <c r="T10" s="2"/>
      <c r="U10" s="21"/>
      <c r="V10" s="11" t="s">
        <v>261</v>
      </c>
      <c r="Y10" s="11" t="s">
        <v>261</v>
      </c>
      <c r="AC10" s="15">
        <f t="shared" si="0"/>
        <v>7</v>
      </c>
      <c r="AE10" s="15" t="s">
        <v>262</v>
      </c>
      <c r="AF10" s="2"/>
      <c r="AG10" s="2" t="s">
        <v>397</v>
      </c>
      <c r="AH10" s="2"/>
      <c r="AI10" s="21"/>
      <c r="AJ10" s="2"/>
      <c r="AK10" s="2"/>
      <c r="AL10" s="21"/>
      <c r="AM10" s="2"/>
      <c r="AN10" s="2" t="s">
        <v>397</v>
      </c>
      <c r="AO10" s="37"/>
      <c r="AP10" s="2" t="s">
        <v>397</v>
      </c>
      <c r="AQ10" s="2"/>
      <c r="AR10" s="2"/>
      <c r="AS10" s="2" t="s">
        <v>396</v>
      </c>
      <c r="AT10" s="2"/>
      <c r="AU10" s="2"/>
      <c r="AV10" s="21"/>
      <c r="AW10" s="11" t="s">
        <v>397</v>
      </c>
      <c r="AX10" s="11"/>
      <c r="AY10" s="11"/>
      <c r="AZ10" s="11" t="s">
        <v>397</v>
      </c>
      <c r="BA10" s="11"/>
      <c r="BB10" s="39"/>
      <c r="BC10" s="11"/>
      <c r="BD10" s="22">
        <f t="shared" si="1"/>
        <v>5</v>
      </c>
      <c r="BE10">
        <f t="shared" si="2"/>
        <v>1</v>
      </c>
      <c r="BF10" s="7">
        <f t="shared" si="3"/>
        <v>0</v>
      </c>
    </row>
    <row r="11" spans="1:58" x14ac:dyDescent="0.3">
      <c r="A11">
        <v>7</v>
      </c>
      <c r="B11" t="s">
        <v>393</v>
      </c>
      <c r="D11" s="48" t="s">
        <v>414</v>
      </c>
      <c r="E11" s="2"/>
      <c r="F11" s="2"/>
      <c r="G11" s="2"/>
      <c r="H11" s="21"/>
      <c r="I11" s="2" t="s">
        <v>261</v>
      </c>
      <c r="J11" s="2"/>
      <c r="K11" s="21"/>
      <c r="L11" s="2" t="s">
        <v>261</v>
      </c>
      <c r="M11" s="2"/>
      <c r="N11" s="2"/>
      <c r="O11" s="2"/>
      <c r="P11" s="2"/>
      <c r="Q11" s="2"/>
      <c r="R11" s="2"/>
      <c r="S11" s="2"/>
      <c r="T11" s="2"/>
      <c r="U11" s="21"/>
      <c r="V11" s="11" t="s">
        <v>261</v>
      </c>
      <c r="Y11" s="11" t="s">
        <v>261</v>
      </c>
      <c r="AB11" s="11" t="s">
        <v>261</v>
      </c>
      <c r="AC11" s="15">
        <f t="shared" si="0"/>
        <v>5</v>
      </c>
      <c r="AE11" s="15" t="s">
        <v>407</v>
      </c>
      <c r="AF11" s="2"/>
      <c r="AG11" s="2"/>
      <c r="AH11" s="2"/>
      <c r="AI11" s="21"/>
      <c r="AJ11" s="2" t="s">
        <v>397</v>
      </c>
      <c r="AK11" s="2"/>
      <c r="AL11" s="21"/>
      <c r="AM11" s="2" t="s">
        <v>397</v>
      </c>
      <c r="AN11" s="2"/>
      <c r="AO11" s="37"/>
      <c r="AP11" s="2"/>
      <c r="AQ11" s="2"/>
      <c r="AR11" s="2"/>
      <c r="AS11" s="2"/>
      <c r="AT11" s="2"/>
      <c r="AU11" s="2"/>
      <c r="AV11" s="21"/>
      <c r="AW11" s="11" t="s">
        <v>397</v>
      </c>
      <c r="AX11" s="11"/>
      <c r="AY11" s="11"/>
      <c r="AZ11" s="11" t="s">
        <v>397</v>
      </c>
      <c r="BA11" s="11"/>
      <c r="BB11" s="39"/>
      <c r="BC11" s="11" t="s">
        <v>397</v>
      </c>
      <c r="BD11" s="22">
        <f t="shared" si="1"/>
        <v>5</v>
      </c>
      <c r="BE11">
        <f t="shared" si="2"/>
        <v>0</v>
      </c>
      <c r="BF11" s="7">
        <f t="shared" si="3"/>
        <v>0</v>
      </c>
    </row>
    <row r="12" spans="1:58" x14ac:dyDescent="0.3">
      <c r="A12">
        <v>8</v>
      </c>
      <c r="D12" s="48" t="s">
        <v>450</v>
      </c>
      <c r="E12" s="2" t="s">
        <v>261</v>
      </c>
      <c r="F12" s="2"/>
      <c r="G12" s="2" t="s">
        <v>261</v>
      </c>
      <c r="H12" s="21"/>
      <c r="I12" s="2"/>
      <c r="J12" s="2"/>
      <c r="K12" s="21"/>
      <c r="L12" s="2"/>
      <c r="M12" s="2" t="s">
        <v>261</v>
      </c>
      <c r="N12" s="2"/>
      <c r="O12" s="2"/>
      <c r="P12" s="2"/>
      <c r="Q12" s="2"/>
      <c r="R12" s="2" t="s">
        <v>261</v>
      </c>
      <c r="S12" s="2"/>
      <c r="T12" s="2"/>
      <c r="U12" s="21"/>
      <c r="AC12" s="15">
        <f t="shared" si="0"/>
        <v>4</v>
      </c>
      <c r="AE12" s="15" t="s">
        <v>451</v>
      </c>
      <c r="AF12" s="2" t="s">
        <v>397</v>
      </c>
      <c r="AG12" s="2"/>
      <c r="AH12" s="2" t="s">
        <v>397</v>
      </c>
      <c r="AI12" s="21"/>
      <c r="AJ12" s="2"/>
      <c r="AK12" s="2"/>
      <c r="AL12" s="21"/>
      <c r="AM12" s="2"/>
      <c r="AN12" s="2" t="s">
        <v>397</v>
      </c>
      <c r="AO12" s="37"/>
      <c r="AP12" s="2"/>
      <c r="AQ12" s="2"/>
      <c r="AR12" s="2"/>
      <c r="AS12" s="2" t="s">
        <v>397</v>
      </c>
      <c r="AT12" s="2"/>
      <c r="AU12" s="2"/>
      <c r="AV12" s="21"/>
      <c r="AW12" s="11"/>
      <c r="AX12" s="11"/>
      <c r="AY12" s="11"/>
      <c r="AZ12" s="11"/>
      <c r="BA12" s="11"/>
      <c r="BB12" s="39"/>
      <c r="BC12" s="11"/>
      <c r="BD12" s="22">
        <f t="shared" si="1"/>
        <v>4</v>
      </c>
      <c r="BE12">
        <f t="shared" si="2"/>
        <v>0</v>
      </c>
      <c r="BF12" s="7">
        <f t="shared" si="3"/>
        <v>0</v>
      </c>
    </row>
    <row r="13" spans="1:58" x14ac:dyDescent="0.3">
      <c r="A13">
        <v>9</v>
      </c>
      <c r="D13" s="48" t="s">
        <v>415</v>
      </c>
      <c r="E13" s="2"/>
      <c r="F13" s="2"/>
      <c r="G13" s="2" t="s">
        <v>261</v>
      </c>
      <c r="H13" s="21"/>
      <c r="I13" s="2"/>
      <c r="J13" s="2" t="s">
        <v>261</v>
      </c>
      <c r="K13" s="21"/>
      <c r="L13" s="2"/>
      <c r="M13" s="2"/>
      <c r="N13" s="2"/>
      <c r="O13" s="2"/>
      <c r="P13" s="2" t="s">
        <v>261</v>
      </c>
      <c r="Q13" s="2"/>
      <c r="R13" s="2"/>
      <c r="S13" s="2"/>
      <c r="T13" s="2"/>
      <c r="U13" s="21"/>
      <c r="AA13" s="11" t="s">
        <v>261</v>
      </c>
      <c r="AC13" s="15">
        <f t="shared" si="0"/>
        <v>4</v>
      </c>
      <c r="AE13" s="31" t="s">
        <v>169</v>
      </c>
      <c r="AF13" s="10"/>
      <c r="AG13" s="10"/>
      <c r="AH13" s="10" t="s">
        <v>398</v>
      </c>
      <c r="AI13" s="32"/>
      <c r="AJ13" s="10"/>
      <c r="AK13" s="10" t="s">
        <v>398</v>
      </c>
      <c r="AL13" s="32"/>
      <c r="AM13" s="10"/>
      <c r="AN13" s="10"/>
      <c r="AO13" s="38"/>
      <c r="AP13" s="10"/>
      <c r="AQ13" s="10" t="s">
        <v>396</v>
      </c>
      <c r="AR13" s="10"/>
      <c r="AS13" s="10"/>
      <c r="AT13" s="10"/>
      <c r="AU13" s="10"/>
      <c r="AV13" s="32"/>
      <c r="AW13" s="12"/>
      <c r="AX13" s="12"/>
      <c r="AY13" s="12"/>
      <c r="AZ13" s="12"/>
      <c r="BA13" s="12"/>
      <c r="BB13" s="40"/>
      <c r="BC13" s="12"/>
      <c r="BD13" s="33">
        <f t="shared" si="1"/>
        <v>0</v>
      </c>
      <c r="BE13" s="34">
        <f t="shared" si="2"/>
        <v>1</v>
      </c>
      <c r="BF13" s="35">
        <f>COUNTIF(AF13:BC13,"me")</f>
        <v>2</v>
      </c>
    </row>
    <row r="14" spans="1:58" x14ac:dyDescent="0.3">
      <c r="A14">
        <v>10</v>
      </c>
      <c r="D14" s="55" t="s">
        <v>416</v>
      </c>
      <c r="E14" s="2" t="s">
        <v>261</v>
      </c>
      <c r="F14" s="2"/>
      <c r="G14" s="2"/>
      <c r="H14" s="2"/>
      <c r="I14" s="2"/>
      <c r="J14" s="2"/>
      <c r="K14" s="2"/>
      <c r="L14" s="2"/>
      <c r="M14" s="2"/>
      <c r="N14" s="2"/>
      <c r="O14" s="2"/>
      <c r="P14" s="2"/>
      <c r="Q14" s="2"/>
      <c r="R14" s="2" t="s">
        <v>261</v>
      </c>
      <c r="S14" s="2"/>
      <c r="T14" s="2" t="s">
        <v>261</v>
      </c>
      <c r="U14" s="2"/>
      <c r="AC14" s="16">
        <f t="shared" si="0"/>
        <v>3</v>
      </c>
    </row>
    <row r="15" spans="1:58" x14ac:dyDescent="0.3">
      <c r="A15">
        <v>11</v>
      </c>
      <c r="D15" s="55" t="s">
        <v>417</v>
      </c>
      <c r="E15" s="2"/>
      <c r="F15" s="2" t="s">
        <v>261</v>
      </c>
      <c r="G15" s="2"/>
      <c r="H15" s="2"/>
      <c r="I15" s="2"/>
      <c r="J15" s="2"/>
      <c r="K15" s="2"/>
      <c r="L15" s="2" t="s">
        <v>261</v>
      </c>
      <c r="M15" s="2"/>
      <c r="N15" s="2"/>
      <c r="O15" s="2"/>
      <c r="P15" s="2"/>
      <c r="Q15" s="2" t="s">
        <v>261</v>
      </c>
      <c r="R15" s="2"/>
      <c r="S15" s="2"/>
      <c r="T15" s="2"/>
      <c r="U15" s="2"/>
      <c r="AC15" s="16">
        <f t="shared" si="0"/>
        <v>3</v>
      </c>
    </row>
    <row r="16" spans="1:58" x14ac:dyDescent="0.3">
      <c r="A16">
        <v>12</v>
      </c>
      <c r="D16" s="55" t="s">
        <v>418</v>
      </c>
      <c r="E16" s="2"/>
      <c r="F16" s="2"/>
      <c r="G16" s="2"/>
      <c r="H16" s="2"/>
      <c r="I16" s="2"/>
      <c r="J16" s="2"/>
      <c r="K16" s="2"/>
      <c r="L16" s="2"/>
      <c r="M16" s="2" t="s">
        <v>261</v>
      </c>
      <c r="N16" s="2" t="s">
        <v>261</v>
      </c>
      <c r="O16" s="2"/>
      <c r="P16" s="2"/>
      <c r="Q16" s="2"/>
      <c r="R16" s="2"/>
      <c r="S16" s="2"/>
      <c r="T16" s="2" t="s">
        <v>261</v>
      </c>
      <c r="U16" s="2"/>
      <c r="AC16" s="16">
        <f t="shared" si="0"/>
        <v>3</v>
      </c>
    </row>
    <row r="17" spans="1:58" x14ac:dyDescent="0.3">
      <c r="A17">
        <v>13</v>
      </c>
      <c r="D17" s="55" t="s">
        <v>419</v>
      </c>
      <c r="E17" s="2" t="s">
        <v>261</v>
      </c>
      <c r="F17" s="2"/>
      <c r="G17" s="2"/>
      <c r="H17" s="2"/>
      <c r="I17" s="2"/>
      <c r="J17" s="2"/>
      <c r="K17" s="2"/>
      <c r="L17" s="2"/>
      <c r="M17" s="2"/>
      <c r="N17" s="2"/>
      <c r="O17" s="2"/>
      <c r="P17" s="2"/>
      <c r="Q17" s="2"/>
      <c r="R17" s="2" t="s">
        <v>261</v>
      </c>
      <c r="S17" s="2"/>
      <c r="T17" s="2"/>
      <c r="U17" s="2"/>
      <c r="AC17" s="16">
        <f t="shared" si="0"/>
        <v>2</v>
      </c>
    </row>
    <row r="18" spans="1:58" x14ac:dyDescent="0.3">
      <c r="A18">
        <v>14</v>
      </c>
      <c r="D18" s="55" t="s">
        <v>420</v>
      </c>
      <c r="E18" s="2" t="s">
        <v>261</v>
      </c>
      <c r="F18" s="2"/>
      <c r="G18" s="2" t="s">
        <v>261</v>
      </c>
      <c r="H18" s="2"/>
      <c r="I18" s="2"/>
      <c r="J18" s="2"/>
      <c r="K18" s="2"/>
      <c r="L18" s="2"/>
      <c r="M18" s="2"/>
      <c r="N18" s="2"/>
      <c r="O18" s="2"/>
      <c r="P18" s="2"/>
      <c r="Q18" s="2"/>
      <c r="R18" s="2"/>
      <c r="S18" s="2"/>
      <c r="T18" s="2"/>
      <c r="U18" s="2"/>
      <c r="AC18" s="16">
        <f t="shared" si="0"/>
        <v>2</v>
      </c>
      <c r="AE18" s="25"/>
      <c r="AF18" s="53" t="s">
        <v>283</v>
      </c>
      <c r="AG18" s="54" t="s">
        <v>282</v>
      </c>
      <c r="AH18" s="54" t="s">
        <v>281</v>
      </c>
      <c r="AI18" s="54"/>
      <c r="AJ18" s="54" t="s">
        <v>279</v>
      </c>
      <c r="AK18" s="54" t="s">
        <v>278</v>
      </c>
      <c r="AL18" s="54"/>
      <c r="AM18" s="54" t="s">
        <v>276</v>
      </c>
      <c r="AN18" s="54" t="s">
        <v>275</v>
      </c>
      <c r="AO18" s="54"/>
      <c r="AP18" s="54" t="s">
        <v>273</v>
      </c>
      <c r="AQ18" s="54" t="s">
        <v>272</v>
      </c>
      <c r="AR18" s="54" t="s">
        <v>271</v>
      </c>
      <c r="AS18" s="54" t="s">
        <v>270</v>
      </c>
      <c r="AT18" s="54" t="s">
        <v>269</v>
      </c>
      <c r="AU18" s="54" t="s">
        <v>268</v>
      </c>
      <c r="AV18" s="54"/>
      <c r="AW18" s="54" t="s">
        <v>351</v>
      </c>
      <c r="AX18" s="54" t="s">
        <v>352</v>
      </c>
      <c r="AY18" s="54" t="s">
        <v>353</v>
      </c>
      <c r="AZ18" s="54" t="s">
        <v>354</v>
      </c>
      <c r="BA18" s="54" t="s">
        <v>355</v>
      </c>
      <c r="BB18" s="54"/>
      <c r="BC18" s="54" t="s">
        <v>357</v>
      </c>
      <c r="BD18" s="27" t="s">
        <v>406</v>
      </c>
      <c r="BE18" s="28" t="s">
        <v>404</v>
      </c>
      <c r="BF18" s="29" t="s">
        <v>405</v>
      </c>
    </row>
    <row r="19" spans="1:58" x14ac:dyDescent="0.3">
      <c r="A19">
        <v>15</v>
      </c>
      <c r="D19" s="55" t="s">
        <v>421</v>
      </c>
      <c r="E19" s="2"/>
      <c r="F19" s="2"/>
      <c r="G19" s="2"/>
      <c r="H19" s="2"/>
      <c r="I19" s="2"/>
      <c r="J19" s="2"/>
      <c r="K19" s="2"/>
      <c r="L19" s="2"/>
      <c r="M19" s="2"/>
      <c r="N19" s="2"/>
      <c r="O19" s="2"/>
      <c r="P19" s="2"/>
      <c r="Q19" s="2" t="s">
        <v>261</v>
      </c>
      <c r="R19" s="2"/>
      <c r="S19" s="2"/>
      <c r="T19" s="2" t="s">
        <v>261</v>
      </c>
      <c r="U19" s="2"/>
      <c r="AC19" s="16">
        <f t="shared" si="0"/>
        <v>2</v>
      </c>
      <c r="AE19" s="50" t="str">
        <f t="shared" ref="AE19:AH27" si="4">PROPER(AE5)</f>
        <v>Patient Satisfaction</v>
      </c>
      <c r="AF19" s="46" t="str">
        <f t="shared" si="4"/>
        <v>D</v>
      </c>
      <c r="AG19" s="46" t="str">
        <f t="shared" si="4"/>
        <v>Mo</v>
      </c>
      <c r="AH19" s="46" t="str">
        <f t="shared" si="4"/>
        <v>D</v>
      </c>
      <c r="AI19" s="46"/>
      <c r="AJ19" s="46" t="str">
        <f t="shared" ref="AJ19:AK27" si="5">PROPER(AJ5)</f>
        <v>D</v>
      </c>
      <c r="AK19" s="46" t="str">
        <f t="shared" si="5"/>
        <v>Mo</v>
      </c>
      <c r="AL19" s="46"/>
      <c r="AM19" s="46" t="str">
        <f t="shared" ref="AM19:AN27" si="6">PROPER(AM5)</f>
        <v>Mo</v>
      </c>
      <c r="AN19" s="46" t="str">
        <f t="shared" si="6"/>
        <v>D</v>
      </c>
      <c r="AO19" s="45"/>
      <c r="AP19" s="46" t="str">
        <f t="shared" ref="AP19:AU27" si="7">PROPER(AP5)</f>
        <v>D</v>
      </c>
      <c r="AQ19" s="46" t="str">
        <f t="shared" si="7"/>
        <v>D</v>
      </c>
      <c r="AR19" s="46" t="str">
        <f t="shared" si="7"/>
        <v>D</v>
      </c>
      <c r="AS19" s="46" t="str">
        <f t="shared" si="7"/>
        <v>Mo</v>
      </c>
      <c r="AT19" s="46" t="str">
        <f t="shared" si="7"/>
        <v>D</v>
      </c>
      <c r="AU19" s="46" t="str">
        <f t="shared" si="7"/>
        <v>D</v>
      </c>
      <c r="AV19" s="46"/>
      <c r="AW19" s="46" t="str">
        <f t="shared" ref="AW19:BA27" si="8">PROPER(AW5)</f>
        <v>Mo</v>
      </c>
      <c r="AX19" s="46" t="str">
        <f t="shared" si="8"/>
        <v>Mo</v>
      </c>
      <c r="AY19" s="46" t="str">
        <f t="shared" si="8"/>
        <v>D</v>
      </c>
      <c r="AZ19" s="46" t="str">
        <f t="shared" si="8"/>
        <v>Mo</v>
      </c>
      <c r="BA19" s="46" t="str">
        <f t="shared" si="8"/>
        <v>D</v>
      </c>
      <c r="BB19" s="45"/>
      <c r="BC19" s="46" t="str">
        <f t="shared" ref="BC19:BC27" si="9">PROPER(BC5)</f>
        <v>D</v>
      </c>
      <c r="BD19" s="23"/>
      <c r="BE19" s="66">
        <v>7</v>
      </c>
      <c r="BF19" s="30"/>
    </row>
    <row r="20" spans="1:58" x14ac:dyDescent="0.3">
      <c r="A20">
        <v>16</v>
      </c>
      <c r="D20" s="55" t="s">
        <v>422</v>
      </c>
      <c r="E20" s="2"/>
      <c r="F20" s="2"/>
      <c r="G20" s="2"/>
      <c r="H20" s="2"/>
      <c r="I20" s="2" t="s">
        <v>261</v>
      </c>
      <c r="J20" s="2"/>
      <c r="K20" s="2"/>
      <c r="L20" s="2"/>
      <c r="M20" s="2" t="s">
        <v>261</v>
      </c>
      <c r="N20" s="2"/>
      <c r="O20" s="2"/>
      <c r="P20" s="2"/>
      <c r="Q20" s="2"/>
      <c r="R20" s="2"/>
      <c r="S20" s="2"/>
      <c r="T20" s="2"/>
      <c r="U20" s="2"/>
      <c r="AC20" s="16">
        <f t="shared" si="0"/>
        <v>2</v>
      </c>
      <c r="AE20" s="51" t="str">
        <f t="shared" si="4"/>
        <v>Convenience</v>
      </c>
      <c r="AF20" s="2" t="str">
        <f t="shared" si="4"/>
        <v/>
      </c>
      <c r="AG20" s="2" t="str">
        <f t="shared" si="4"/>
        <v>I</v>
      </c>
      <c r="AH20" s="2" t="str">
        <f t="shared" si="4"/>
        <v/>
      </c>
      <c r="AI20" s="21"/>
      <c r="AJ20" s="2" t="str">
        <f t="shared" si="5"/>
        <v/>
      </c>
      <c r="AK20" s="2" t="str">
        <f t="shared" si="5"/>
        <v>I</v>
      </c>
      <c r="AL20" s="21"/>
      <c r="AM20" s="2" t="str">
        <f t="shared" si="6"/>
        <v>I</v>
      </c>
      <c r="AN20" s="2" t="str">
        <f t="shared" si="6"/>
        <v>I</v>
      </c>
      <c r="AO20" s="41"/>
      <c r="AP20" s="2" t="str">
        <f t="shared" si="7"/>
        <v/>
      </c>
      <c r="AQ20" s="2" t="str">
        <f t="shared" si="7"/>
        <v>I</v>
      </c>
      <c r="AR20" s="2" t="str">
        <f t="shared" si="7"/>
        <v>I</v>
      </c>
      <c r="AS20" s="2" t="str">
        <f t="shared" si="7"/>
        <v>Mo</v>
      </c>
      <c r="AT20" s="2" t="str">
        <f t="shared" si="7"/>
        <v>I</v>
      </c>
      <c r="AU20" s="2" t="str">
        <f t="shared" si="7"/>
        <v/>
      </c>
      <c r="AV20" s="21"/>
      <c r="AW20" s="2" t="str">
        <f t="shared" si="8"/>
        <v>I</v>
      </c>
      <c r="AX20" s="2" t="str">
        <f t="shared" si="8"/>
        <v/>
      </c>
      <c r="AY20" s="2" t="str">
        <f t="shared" si="8"/>
        <v>I</v>
      </c>
      <c r="AZ20" s="2" t="str">
        <f t="shared" si="8"/>
        <v>I</v>
      </c>
      <c r="BA20" s="2" t="str">
        <f t="shared" si="8"/>
        <v>I</v>
      </c>
      <c r="BB20" s="41"/>
      <c r="BC20" s="2" t="str">
        <f t="shared" si="9"/>
        <v>Mo</v>
      </c>
      <c r="BD20" s="22">
        <f t="shared" ref="BD20:BD27" si="10">COUNTIF(AF20:BC20,"i")</f>
        <v>11</v>
      </c>
      <c r="BE20">
        <f t="shared" ref="BE20:BE27" si="11">COUNTIF(AF20:BC20,"mo")</f>
        <v>2</v>
      </c>
      <c r="BF20" s="7">
        <f t="shared" ref="BF20:BF26" si="12">COUNTIF(AF20:BC20,"me")</f>
        <v>0</v>
      </c>
    </row>
    <row r="21" spans="1:58" x14ac:dyDescent="0.3">
      <c r="A21">
        <v>17</v>
      </c>
      <c r="D21" s="55" t="s">
        <v>423</v>
      </c>
      <c r="E21" s="2"/>
      <c r="F21" s="2"/>
      <c r="G21" s="2"/>
      <c r="H21" s="2"/>
      <c r="I21" s="2" t="s">
        <v>261</v>
      </c>
      <c r="J21" s="2"/>
      <c r="K21" s="2"/>
      <c r="L21" s="2"/>
      <c r="M21" s="2"/>
      <c r="N21" s="2"/>
      <c r="O21" s="2"/>
      <c r="P21" s="2"/>
      <c r="Q21" s="2"/>
      <c r="R21" s="2"/>
      <c r="S21" s="2"/>
      <c r="T21" s="2"/>
      <c r="U21" s="2"/>
      <c r="AA21" s="11" t="s">
        <v>261</v>
      </c>
      <c r="AC21" s="16">
        <f t="shared" si="0"/>
        <v>2</v>
      </c>
      <c r="AE21" s="51" t="str">
        <f t="shared" si="4"/>
        <v>Technical Aspect</v>
      </c>
      <c r="AF21" s="2" t="str">
        <f t="shared" si="4"/>
        <v/>
      </c>
      <c r="AG21" s="2" t="str">
        <f t="shared" si="4"/>
        <v/>
      </c>
      <c r="AH21" s="2" t="str">
        <f t="shared" si="4"/>
        <v/>
      </c>
      <c r="AI21" s="21"/>
      <c r="AJ21" s="2" t="str">
        <f t="shared" si="5"/>
        <v/>
      </c>
      <c r="AK21" s="2" t="str">
        <f t="shared" si="5"/>
        <v/>
      </c>
      <c r="AL21" s="21"/>
      <c r="AM21" s="2" t="str">
        <f t="shared" si="6"/>
        <v>I</v>
      </c>
      <c r="AN21" s="2" t="str">
        <f t="shared" si="6"/>
        <v/>
      </c>
      <c r="AO21" s="41"/>
      <c r="AP21" s="2" t="str">
        <f t="shared" si="7"/>
        <v>I</v>
      </c>
      <c r="AQ21" s="2" t="str">
        <f t="shared" si="7"/>
        <v>I</v>
      </c>
      <c r="AR21" s="2" t="str">
        <f t="shared" si="7"/>
        <v>I</v>
      </c>
      <c r="AS21" s="2" t="str">
        <f t="shared" si="7"/>
        <v>I</v>
      </c>
      <c r="AT21" s="2" t="str">
        <f t="shared" si="7"/>
        <v>I</v>
      </c>
      <c r="AU21" s="2" t="str">
        <f t="shared" si="7"/>
        <v/>
      </c>
      <c r="AV21" s="21"/>
      <c r="AW21" s="2" t="str">
        <f t="shared" si="8"/>
        <v>I</v>
      </c>
      <c r="AX21" s="2" t="str">
        <f t="shared" si="8"/>
        <v>Mo</v>
      </c>
      <c r="AY21" s="2" t="str">
        <f t="shared" si="8"/>
        <v>Mo</v>
      </c>
      <c r="AZ21" s="2" t="str">
        <f t="shared" si="8"/>
        <v/>
      </c>
      <c r="BA21" s="2" t="str">
        <f t="shared" si="8"/>
        <v>I</v>
      </c>
      <c r="BB21" s="41"/>
      <c r="BC21" s="2" t="str">
        <f t="shared" si="9"/>
        <v>Mo</v>
      </c>
      <c r="BD21" s="22">
        <f t="shared" si="10"/>
        <v>8</v>
      </c>
      <c r="BE21">
        <f t="shared" si="11"/>
        <v>3</v>
      </c>
      <c r="BF21" s="7">
        <f t="shared" si="12"/>
        <v>0</v>
      </c>
    </row>
    <row r="22" spans="1:58" x14ac:dyDescent="0.3">
      <c r="A22">
        <v>18</v>
      </c>
      <c r="D22" s="55" t="s">
        <v>424</v>
      </c>
      <c r="E22" s="2"/>
      <c r="F22" s="2" t="s">
        <v>261</v>
      </c>
      <c r="G22" s="2"/>
      <c r="H22" s="2"/>
      <c r="I22" s="2"/>
      <c r="J22" s="2"/>
      <c r="K22" s="2"/>
      <c r="L22" s="2"/>
      <c r="M22" s="2"/>
      <c r="N22" s="2" t="s">
        <v>261</v>
      </c>
      <c r="O22" s="2"/>
      <c r="P22" s="2"/>
      <c r="Q22" s="2"/>
      <c r="R22" s="2"/>
      <c r="S22" s="2"/>
      <c r="T22" s="2"/>
      <c r="U22" s="2"/>
      <c r="AC22" s="16">
        <f t="shared" si="0"/>
        <v>2</v>
      </c>
      <c r="AE22" s="50" t="str">
        <f t="shared" si="4"/>
        <v>Patient Preference</v>
      </c>
      <c r="AF22" s="46" t="str">
        <f t="shared" si="4"/>
        <v/>
      </c>
      <c r="AG22" s="46" t="str">
        <f t="shared" si="4"/>
        <v>D</v>
      </c>
      <c r="AH22" s="46" t="str">
        <f t="shared" si="4"/>
        <v/>
      </c>
      <c r="AI22" s="46"/>
      <c r="AJ22" s="46" t="str">
        <f t="shared" si="5"/>
        <v/>
      </c>
      <c r="AK22" s="46" t="str">
        <f t="shared" si="5"/>
        <v>D</v>
      </c>
      <c r="AL22" s="46"/>
      <c r="AM22" s="46" t="str">
        <f t="shared" si="6"/>
        <v>D</v>
      </c>
      <c r="AN22" s="46" t="str">
        <f t="shared" si="6"/>
        <v/>
      </c>
      <c r="AO22" s="45"/>
      <c r="AP22" s="46" t="str">
        <f t="shared" si="7"/>
        <v>D</v>
      </c>
      <c r="AQ22" s="46" t="str">
        <f t="shared" si="7"/>
        <v>D</v>
      </c>
      <c r="AR22" s="46" t="str">
        <f t="shared" si="7"/>
        <v/>
      </c>
      <c r="AS22" s="46" t="str">
        <f t="shared" si="7"/>
        <v>D</v>
      </c>
      <c r="AT22" s="46" t="str">
        <f t="shared" si="7"/>
        <v/>
      </c>
      <c r="AU22" s="46" t="str">
        <f t="shared" si="7"/>
        <v>D</v>
      </c>
      <c r="AV22" s="46"/>
      <c r="AW22" s="46" t="str">
        <f t="shared" si="8"/>
        <v>D</v>
      </c>
      <c r="AX22" s="46" t="str">
        <f t="shared" si="8"/>
        <v/>
      </c>
      <c r="AY22" s="46" t="str">
        <f t="shared" si="8"/>
        <v/>
      </c>
      <c r="AZ22" s="46" t="str">
        <f t="shared" si="8"/>
        <v>D</v>
      </c>
      <c r="BA22" s="46" t="str">
        <f t="shared" si="8"/>
        <v/>
      </c>
      <c r="BB22" s="45"/>
      <c r="BC22" s="46" t="str">
        <f t="shared" si="9"/>
        <v/>
      </c>
      <c r="BD22" s="23"/>
      <c r="BE22" s="24"/>
      <c r="BF22" s="30"/>
    </row>
    <row r="23" spans="1:58" x14ac:dyDescent="0.3">
      <c r="A23">
        <v>19</v>
      </c>
      <c r="D23" s="55" t="s">
        <v>425</v>
      </c>
      <c r="E23" s="2"/>
      <c r="F23" s="2"/>
      <c r="G23" s="2"/>
      <c r="H23" s="2"/>
      <c r="I23" s="2"/>
      <c r="J23" s="2"/>
      <c r="K23" s="2"/>
      <c r="L23" s="2"/>
      <c r="M23" s="2"/>
      <c r="N23" s="2"/>
      <c r="O23" s="2"/>
      <c r="P23" s="2"/>
      <c r="Q23" s="2"/>
      <c r="R23" s="2"/>
      <c r="S23" s="2" t="s">
        <v>261</v>
      </c>
      <c r="T23" s="2"/>
      <c r="U23" s="2"/>
      <c r="X23" s="11" t="s">
        <v>261</v>
      </c>
      <c r="AC23" s="16">
        <f t="shared" si="0"/>
        <v>2</v>
      </c>
      <c r="AE23" s="51" t="str">
        <f t="shared" si="4"/>
        <v>Service Quality</v>
      </c>
      <c r="AF23" s="2" t="str">
        <f t="shared" si="4"/>
        <v/>
      </c>
      <c r="AG23" s="2" t="str">
        <f t="shared" si="4"/>
        <v>Mo</v>
      </c>
      <c r="AH23" s="2" t="str">
        <f t="shared" si="4"/>
        <v>I</v>
      </c>
      <c r="AI23" s="21"/>
      <c r="AJ23" s="2" t="str">
        <f t="shared" si="5"/>
        <v>I</v>
      </c>
      <c r="AK23" s="2" t="str">
        <f t="shared" si="5"/>
        <v/>
      </c>
      <c r="AL23" s="21"/>
      <c r="AM23" s="2" t="str">
        <f t="shared" si="6"/>
        <v/>
      </c>
      <c r="AN23" s="2" t="str">
        <f t="shared" si="6"/>
        <v>I</v>
      </c>
      <c r="AO23" s="41"/>
      <c r="AP23" s="2" t="str">
        <f t="shared" si="7"/>
        <v/>
      </c>
      <c r="AQ23" s="2" t="str">
        <f t="shared" si="7"/>
        <v>I</v>
      </c>
      <c r="AR23" s="2" t="str">
        <f t="shared" si="7"/>
        <v/>
      </c>
      <c r="AS23" s="2" t="str">
        <f t="shared" si="7"/>
        <v/>
      </c>
      <c r="AT23" s="2" t="str">
        <f t="shared" si="7"/>
        <v/>
      </c>
      <c r="AU23" s="2" t="str">
        <f t="shared" si="7"/>
        <v/>
      </c>
      <c r="AV23" s="21"/>
      <c r="AW23" s="2" t="str">
        <f t="shared" si="8"/>
        <v/>
      </c>
      <c r="AX23" s="2" t="str">
        <f t="shared" si="8"/>
        <v/>
      </c>
      <c r="AY23" s="2" t="str">
        <f t="shared" si="8"/>
        <v>I</v>
      </c>
      <c r="AZ23" s="2" t="str">
        <f t="shared" si="8"/>
        <v/>
      </c>
      <c r="BA23" s="2" t="str">
        <f t="shared" si="8"/>
        <v>I</v>
      </c>
      <c r="BB23" s="41"/>
      <c r="BC23" s="2" t="str">
        <f t="shared" si="9"/>
        <v>I</v>
      </c>
      <c r="BD23" s="22">
        <f t="shared" si="10"/>
        <v>7</v>
      </c>
      <c r="BE23">
        <f t="shared" si="11"/>
        <v>1</v>
      </c>
      <c r="BF23" s="7">
        <f t="shared" si="12"/>
        <v>0</v>
      </c>
    </row>
    <row r="24" spans="1:58" x14ac:dyDescent="0.3">
      <c r="A24">
        <v>20</v>
      </c>
      <c r="D24" s="55" t="s">
        <v>426</v>
      </c>
      <c r="E24" s="2"/>
      <c r="F24" s="2"/>
      <c r="G24" s="2"/>
      <c r="H24" s="2"/>
      <c r="I24" s="2"/>
      <c r="J24" s="2"/>
      <c r="K24" s="2"/>
      <c r="L24" s="2"/>
      <c r="M24" s="2" t="s">
        <v>261</v>
      </c>
      <c r="N24" s="2"/>
      <c r="O24" s="2"/>
      <c r="P24" s="2"/>
      <c r="Q24" s="2"/>
      <c r="R24" s="2"/>
      <c r="S24" s="2"/>
      <c r="T24" s="2"/>
      <c r="U24" s="2"/>
      <c r="AC24" s="16">
        <f t="shared" si="0"/>
        <v>1</v>
      </c>
      <c r="AE24" s="51" t="str">
        <f t="shared" si="4"/>
        <v>Accessibility</v>
      </c>
      <c r="AF24" s="2" t="str">
        <f t="shared" si="4"/>
        <v/>
      </c>
      <c r="AG24" s="2" t="str">
        <f t="shared" si="4"/>
        <v>I</v>
      </c>
      <c r="AH24" s="2" t="str">
        <f t="shared" si="4"/>
        <v/>
      </c>
      <c r="AI24" s="21"/>
      <c r="AJ24" s="2" t="str">
        <f t="shared" si="5"/>
        <v/>
      </c>
      <c r="AK24" s="2" t="str">
        <f t="shared" si="5"/>
        <v/>
      </c>
      <c r="AL24" s="21"/>
      <c r="AM24" s="2" t="str">
        <f t="shared" si="6"/>
        <v/>
      </c>
      <c r="AN24" s="2" t="str">
        <f t="shared" si="6"/>
        <v>I</v>
      </c>
      <c r="AO24" s="41"/>
      <c r="AP24" s="2" t="str">
        <f t="shared" si="7"/>
        <v>I</v>
      </c>
      <c r="AQ24" s="2" t="str">
        <f t="shared" si="7"/>
        <v/>
      </c>
      <c r="AR24" s="2" t="str">
        <f t="shared" si="7"/>
        <v/>
      </c>
      <c r="AS24" s="2" t="str">
        <f t="shared" si="7"/>
        <v>Mo</v>
      </c>
      <c r="AT24" s="2" t="str">
        <f t="shared" si="7"/>
        <v/>
      </c>
      <c r="AU24" s="2" t="str">
        <f t="shared" si="7"/>
        <v/>
      </c>
      <c r="AV24" s="21"/>
      <c r="AW24" s="2" t="str">
        <f t="shared" si="8"/>
        <v>I</v>
      </c>
      <c r="AX24" s="2" t="str">
        <f t="shared" si="8"/>
        <v/>
      </c>
      <c r="AY24" s="2" t="str">
        <f t="shared" si="8"/>
        <v/>
      </c>
      <c r="AZ24" s="2" t="str">
        <f t="shared" si="8"/>
        <v>I</v>
      </c>
      <c r="BA24" s="2" t="str">
        <f t="shared" si="8"/>
        <v/>
      </c>
      <c r="BB24" s="41"/>
      <c r="BC24" s="2" t="str">
        <f t="shared" si="9"/>
        <v/>
      </c>
      <c r="BD24" s="22">
        <f t="shared" si="10"/>
        <v>5</v>
      </c>
      <c r="BE24">
        <f t="shared" si="11"/>
        <v>1</v>
      </c>
      <c r="BF24" s="7">
        <f t="shared" si="12"/>
        <v>0</v>
      </c>
    </row>
    <row r="25" spans="1:58" x14ac:dyDescent="0.3">
      <c r="A25">
        <v>21</v>
      </c>
      <c r="D25" s="55" t="s">
        <v>427</v>
      </c>
      <c r="E25" s="2"/>
      <c r="F25" s="2"/>
      <c r="G25" s="2"/>
      <c r="H25" s="2"/>
      <c r="I25" s="2"/>
      <c r="J25" s="2"/>
      <c r="K25" s="2"/>
      <c r="L25" s="2"/>
      <c r="M25" s="2"/>
      <c r="N25" s="2"/>
      <c r="O25" s="2"/>
      <c r="P25" s="2"/>
      <c r="Q25" s="2"/>
      <c r="R25" s="2"/>
      <c r="S25" s="2"/>
      <c r="T25" s="2"/>
      <c r="U25" s="2"/>
      <c r="W25" s="11" t="s">
        <v>261</v>
      </c>
      <c r="AC25" s="16">
        <f t="shared" si="0"/>
        <v>1</v>
      </c>
      <c r="AE25" s="51" t="str">
        <f t="shared" si="4"/>
        <v>Similarity To F2F Interaction</v>
      </c>
      <c r="AF25" s="2" t="str">
        <f t="shared" si="4"/>
        <v/>
      </c>
      <c r="AG25" s="2" t="str">
        <f t="shared" si="4"/>
        <v/>
      </c>
      <c r="AH25" s="2" t="str">
        <f t="shared" si="4"/>
        <v/>
      </c>
      <c r="AI25" s="21"/>
      <c r="AJ25" s="2" t="str">
        <f t="shared" si="5"/>
        <v>I</v>
      </c>
      <c r="AK25" s="2" t="str">
        <f t="shared" si="5"/>
        <v/>
      </c>
      <c r="AL25" s="21"/>
      <c r="AM25" s="2" t="str">
        <f t="shared" si="6"/>
        <v>I</v>
      </c>
      <c r="AN25" s="2" t="str">
        <f t="shared" si="6"/>
        <v/>
      </c>
      <c r="AO25" s="41"/>
      <c r="AP25" s="2" t="str">
        <f t="shared" si="7"/>
        <v/>
      </c>
      <c r="AQ25" s="2" t="str">
        <f t="shared" si="7"/>
        <v/>
      </c>
      <c r="AR25" s="2" t="str">
        <f t="shared" si="7"/>
        <v/>
      </c>
      <c r="AS25" s="2" t="str">
        <f t="shared" si="7"/>
        <v/>
      </c>
      <c r="AT25" s="2" t="str">
        <f t="shared" si="7"/>
        <v/>
      </c>
      <c r="AU25" s="2" t="str">
        <f t="shared" si="7"/>
        <v/>
      </c>
      <c r="AV25" s="21"/>
      <c r="AW25" s="2" t="str">
        <f t="shared" si="8"/>
        <v>I</v>
      </c>
      <c r="AX25" s="2" t="str">
        <f t="shared" si="8"/>
        <v/>
      </c>
      <c r="AY25" s="2" t="str">
        <f t="shared" si="8"/>
        <v/>
      </c>
      <c r="AZ25" s="2" t="str">
        <f t="shared" si="8"/>
        <v>I</v>
      </c>
      <c r="BA25" s="2" t="str">
        <f t="shared" si="8"/>
        <v/>
      </c>
      <c r="BB25" s="41"/>
      <c r="BC25" s="2" t="str">
        <f t="shared" si="9"/>
        <v>I</v>
      </c>
      <c r="BD25" s="22">
        <f t="shared" si="10"/>
        <v>5</v>
      </c>
      <c r="BE25">
        <f t="shared" si="11"/>
        <v>0</v>
      </c>
      <c r="BF25" s="7">
        <f t="shared" si="12"/>
        <v>0</v>
      </c>
    </row>
    <row r="26" spans="1:58" x14ac:dyDescent="0.3">
      <c r="A26">
        <v>22</v>
      </c>
      <c r="D26" s="55" t="s">
        <v>428</v>
      </c>
      <c r="E26" s="2"/>
      <c r="F26" s="2"/>
      <c r="G26" s="2"/>
      <c r="H26" s="2"/>
      <c r="I26" s="2"/>
      <c r="J26" s="2"/>
      <c r="K26" s="2"/>
      <c r="L26" s="2"/>
      <c r="M26" s="2"/>
      <c r="N26" s="2"/>
      <c r="O26" s="2"/>
      <c r="P26" s="2"/>
      <c r="Q26" s="2"/>
      <c r="R26" s="2"/>
      <c r="S26" s="2"/>
      <c r="T26" s="2"/>
      <c r="U26" s="2"/>
      <c r="X26" s="11" t="s">
        <v>261</v>
      </c>
      <c r="AC26" s="16">
        <f t="shared" si="0"/>
        <v>1</v>
      </c>
      <c r="AE26" s="51" t="str">
        <f t="shared" si="4"/>
        <v>Perceived Usefulness</v>
      </c>
      <c r="AF26" s="42" t="str">
        <f t="shared" si="4"/>
        <v>I</v>
      </c>
      <c r="AG26" s="2" t="str">
        <f t="shared" si="4"/>
        <v/>
      </c>
      <c r="AH26" s="2" t="str">
        <f t="shared" si="4"/>
        <v>I</v>
      </c>
      <c r="AI26" s="21"/>
      <c r="AJ26" s="2" t="str">
        <f t="shared" si="5"/>
        <v/>
      </c>
      <c r="AK26" s="2" t="str">
        <f t="shared" si="5"/>
        <v/>
      </c>
      <c r="AL26" s="21"/>
      <c r="AM26" s="2" t="str">
        <f t="shared" si="6"/>
        <v/>
      </c>
      <c r="AN26" s="2" t="str">
        <f t="shared" si="6"/>
        <v>I</v>
      </c>
      <c r="AO26" s="41"/>
      <c r="AP26" s="2" t="str">
        <f t="shared" si="7"/>
        <v/>
      </c>
      <c r="AQ26" s="2" t="str">
        <f t="shared" si="7"/>
        <v/>
      </c>
      <c r="AR26" s="2" t="str">
        <f t="shared" si="7"/>
        <v/>
      </c>
      <c r="AS26" s="2" t="str">
        <f t="shared" si="7"/>
        <v>I</v>
      </c>
      <c r="AT26" s="2" t="str">
        <f t="shared" si="7"/>
        <v/>
      </c>
      <c r="AU26" s="2" t="str">
        <f t="shared" si="7"/>
        <v/>
      </c>
      <c r="AV26" s="21"/>
      <c r="AW26" s="2" t="str">
        <f t="shared" si="8"/>
        <v/>
      </c>
      <c r="AX26" s="2" t="str">
        <f t="shared" si="8"/>
        <v/>
      </c>
      <c r="AY26" s="2" t="str">
        <f t="shared" si="8"/>
        <v/>
      </c>
      <c r="AZ26" s="2" t="str">
        <f t="shared" si="8"/>
        <v/>
      </c>
      <c r="BA26" s="2" t="str">
        <f t="shared" si="8"/>
        <v/>
      </c>
      <c r="BB26" s="41"/>
      <c r="BC26" s="2" t="str">
        <f t="shared" si="9"/>
        <v/>
      </c>
      <c r="BD26" s="22">
        <f t="shared" si="10"/>
        <v>4</v>
      </c>
      <c r="BE26">
        <f t="shared" si="11"/>
        <v>0</v>
      </c>
      <c r="BF26" s="7">
        <f t="shared" si="12"/>
        <v>0</v>
      </c>
    </row>
    <row r="27" spans="1:58" x14ac:dyDescent="0.3">
      <c r="A27">
        <v>23</v>
      </c>
      <c r="D27" s="55" t="s">
        <v>429</v>
      </c>
      <c r="E27" s="2"/>
      <c r="F27" s="2"/>
      <c r="G27" s="2"/>
      <c r="H27" s="2"/>
      <c r="I27" s="2"/>
      <c r="J27" s="2"/>
      <c r="K27" s="2"/>
      <c r="L27" s="2"/>
      <c r="M27" s="2"/>
      <c r="N27" s="2"/>
      <c r="O27" s="2"/>
      <c r="P27" s="2" t="s">
        <v>261</v>
      </c>
      <c r="Q27" s="2"/>
      <c r="R27" s="2"/>
      <c r="S27" s="2"/>
      <c r="T27" s="2"/>
      <c r="U27" s="2"/>
      <c r="AC27" s="16">
        <f t="shared" si="0"/>
        <v>1</v>
      </c>
      <c r="AE27" s="52" t="str">
        <f t="shared" si="4"/>
        <v>Intention Of Use</v>
      </c>
      <c r="AF27" s="43" t="str">
        <f t="shared" si="4"/>
        <v/>
      </c>
      <c r="AG27" s="10" t="str">
        <f t="shared" si="4"/>
        <v/>
      </c>
      <c r="AH27" s="10" t="str">
        <f t="shared" si="4"/>
        <v>Me</v>
      </c>
      <c r="AI27" s="32"/>
      <c r="AJ27" s="10" t="str">
        <f t="shared" si="5"/>
        <v/>
      </c>
      <c r="AK27" s="10" t="str">
        <f t="shared" si="5"/>
        <v>Me</v>
      </c>
      <c r="AL27" s="32"/>
      <c r="AM27" s="10" t="str">
        <f t="shared" si="6"/>
        <v/>
      </c>
      <c r="AN27" s="10" t="str">
        <f t="shared" si="6"/>
        <v/>
      </c>
      <c r="AO27" s="44"/>
      <c r="AP27" s="10" t="str">
        <f t="shared" si="7"/>
        <v/>
      </c>
      <c r="AQ27" s="10" t="str">
        <f t="shared" si="7"/>
        <v>Mo</v>
      </c>
      <c r="AR27" s="10" t="str">
        <f t="shared" si="7"/>
        <v/>
      </c>
      <c r="AS27" s="10" t="str">
        <f t="shared" si="7"/>
        <v/>
      </c>
      <c r="AT27" s="10" t="str">
        <f t="shared" si="7"/>
        <v/>
      </c>
      <c r="AU27" s="10" t="str">
        <f t="shared" si="7"/>
        <v/>
      </c>
      <c r="AV27" s="32"/>
      <c r="AW27" s="10" t="str">
        <f t="shared" si="8"/>
        <v/>
      </c>
      <c r="AX27" s="10" t="str">
        <f t="shared" si="8"/>
        <v/>
      </c>
      <c r="AY27" s="10" t="str">
        <f t="shared" si="8"/>
        <v/>
      </c>
      <c r="AZ27" s="10" t="str">
        <f t="shared" si="8"/>
        <v/>
      </c>
      <c r="BA27" s="10" t="str">
        <f t="shared" si="8"/>
        <v/>
      </c>
      <c r="BB27" s="44"/>
      <c r="BC27" s="10" t="str">
        <f t="shared" si="9"/>
        <v/>
      </c>
      <c r="BD27" s="33">
        <f t="shared" si="10"/>
        <v>0</v>
      </c>
      <c r="BE27" s="34">
        <f t="shared" si="11"/>
        <v>1</v>
      </c>
      <c r="BF27" s="35">
        <f>COUNTIF(AF27:BC27,"me")</f>
        <v>2</v>
      </c>
    </row>
    <row r="28" spans="1:58" x14ac:dyDescent="0.3">
      <c r="A28">
        <v>24</v>
      </c>
      <c r="D28" s="55" t="s">
        <v>430</v>
      </c>
      <c r="E28" s="2" t="s">
        <v>261</v>
      </c>
      <c r="F28" s="2"/>
      <c r="G28" s="2"/>
      <c r="H28" s="2"/>
      <c r="I28" s="2"/>
      <c r="J28" s="2"/>
      <c r="K28" s="2"/>
      <c r="L28" s="2"/>
      <c r="M28" s="2"/>
      <c r="N28" s="2"/>
      <c r="O28" s="2"/>
      <c r="P28" s="2"/>
      <c r="Q28" s="2"/>
      <c r="R28" s="2"/>
      <c r="S28" s="2"/>
      <c r="T28" s="2"/>
      <c r="U28" s="2"/>
      <c r="AC28" s="16">
        <f t="shared" si="0"/>
        <v>1</v>
      </c>
    </row>
    <row r="29" spans="1:58" x14ac:dyDescent="0.3">
      <c r="A29">
        <v>25</v>
      </c>
      <c r="D29" s="55" t="s">
        <v>431</v>
      </c>
      <c r="E29" s="2"/>
      <c r="F29" s="2" t="s">
        <v>261</v>
      </c>
      <c r="G29" s="2"/>
      <c r="H29" s="2"/>
      <c r="I29" s="2"/>
      <c r="J29" s="2"/>
      <c r="K29" s="2"/>
      <c r="L29" s="2"/>
      <c r="M29" s="2"/>
      <c r="N29" s="2"/>
      <c r="O29" s="2"/>
      <c r="P29" s="2"/>
      <c r="Q29" s="2"/>
      <c r="R29" s="2"/>
      <c r="S29" s="2"/>
      <c r="T29" s="2"/>
      <c r="U29" s="2"/>
      <c r="AC29" s="16">
        <f t="shared" si="0"/>
        <v>1</v>
      </c>
    </row>
    <row r="30" spans="1:58" x14ac:dyDescent="0.3">
      <c r="A30">
        <v>26</v>
      </c>
      <c r="D30" s="55" t="s">
        <v>432</v>
      </c>
      <c r="E30" s="2"/>
      <c r="F30" s="2" t="s">
        <v>261</v>
      </c>
      <c r="G30" s="2"/>
      <c r="H30" s="2"/>
      <c r="I30" s="2"/>
      <c r="J30" s="2"/>
      <c r="K30" s="2"/>
      <c r="L30" s="2"/>
      <c r="M30" s="2"/>
      <c r="N30" s="2"/>
      <c r="O30" s="2"/>
      <c r="P30" s="2"/>
      <c r="Q30" s="2"/>
      <c r="R30" s="2"/>
      <c r="S30" s="2"/>
      <c r="T30" s="2"/>
      <c r="U30" s="2"/>
      <c r="AC30" s="16">
        <f t="shared" si="0"/>
        <v>1</v>
      </c>
    </row>
    <row r="31" spans="1:58" x14ac:dyDescent="0.3">
      <c r="A31">
        <v>27</v>
      </c>
      <c r="D31" s="55" t="s">
        <v>433</v>
      </c>
      <c r="E31" s="2"/>
      <c r="F31" s="2" t="s">
        <v>261</v>
      </c>
      <c r="G31" s="2"/>
      <c r="H31" s="2"/>
      <c r="I31" s="2"/>
      <c r="J31" s="2"/>
      <c r="K31" s="2"/>
      <c r="L31" s="2"/>
      <c r="M31" s="2"/>
      <c r="N31" s="2"/>
      <c r="O31" s="2"/>
      <c r="P31" s="2"/>
      <c r="Q31" s="2"/>
      <c r="R31" s="2"/>
      <c r="S31" s="2"/>
      <c r="T31" s="2"/>
      <c r="U31" s="2"/>
      <c r="AC31" s="16">
        <f t="shared" si="0"/>
        <v>1</v>
      </c>
    </row>
    <row r="32" spans="1:58" x14ac:dyDescent="0.3">
      <c r="A32">
        <v>28</v>
      </c>
      <c r="D32" s="55" t="s">
        <v>434</v>
      </c>
      <c r="E32" s="2"/>
      <c r="F32" s="2" t="s">
        <v>261</v>
      </c>
      <c r="G32" s="2"/>
      <c r="H32" s="2"/>
      <c r="I32" s="2"/>
      <c r="J32" s="2"/>
      <c r="K32" s="2"/>
      <c r="L32" s="2"/>
      <c r="M32" s="2"/>
      <c r="N32" s="2"/>
      <c r="O32" s="2"/>
      <c r="P32" s="2"/>
      <c r="Q32" s="2"/>
      <c r="R32" s="2"/>
      <c r="S32" s="2"/>
      <c r="T32" s="2"/>
      <c r="U32" s="2"/>
      <c r="AC32" s="16">
        <f t="shared" si="0"/>
        <v>1</v>
      </c>
    </row>
    <row r="33" spans="1:58" x14ac:dyDescent="0.3">
      <c r="A33">
        <v>29</v>
      </c>
      <c r="D33" s="55" t="s">
        <v>435</v>
      </c>
      <c r="E33" s="2"/>
      <c r="F33" s="2"/>
      <c r="G33" s="2" t="s">
        <v>261</v>
      </c>
      <c r="H33" s="2"/>
      <c r="I33" s="2"/>
      <c r="J33" s="2"/>
      <c r="K33" s="2"/>
      <c r="L33" s="2"/>
      <c r="M33" s="2"/>
      <c r="N33" s="2"/>
      <c r="O33" s="2"/>
      <c r="P33" s="2"/>
      <c r="Q33" s="2"/>
      <c r="R33" s="2"/>
      <c r="S33" s="2"/>
      <c r="T33" s="2"/>
      <c r="U33" s="2"/>
      <c r="AC33" s="16">
        <f t="shared" si="0"/>
        <v>1</v>
      </c>
    </row>
    <row r="34" spans="1:58" x14ac:dyDescent="0.3">
      <c r="A34">
        <v>30</v>
      </c>
      <c r="D34" s="55" t="s">
        <v>436</v>
      </c>
      <c r="E34" s="2"/>
      <c r="F34" s="2"/>
      <c r="G34" s="2" t="s">
        <v>261</v>
      </c>
      <c r="H34" s="2"/>
      <c r="I34" s="2"/>
      <c r="J34" s="2"/>
      <c r="K34" s="2"/>
      <c r="L34" s="2"/>
      <c r="M34" s="2"/>
      <c r="N34" s="2"/>
      <c r="O34" s="2"/>
      <c r="P34" s="2"/>
      <c r="Q34" s="2"/>
      <c r="R34" s="2"/>
      <c r="S34" s="2"/>
      <c r="T34" s="2"/>
      <c r="U34" s="2"/>
      <c r="AC34" s="16">
        <f t="shared" si="0"/>
        <v>1</v>
      </c>
      <c r="AE34" s="25"/>
      <c r="AF34" s="53" t="s">
        <v>283</v>
      </c>
      <c r="AG34" s="54" t="s">
        <v>282</v>
      </c>
      <c r="AH34" s="54" t="s">
        <v>281</v>
      </c>
      <c r="AI34" s="54" t="s">
        <v>279</v>
      </c>
      <c r="AJ34" s="54" t="s">
        <v>278</v>
      </c>
      <c r="AK34" s="54" t="s">
        <v>276</v>
      </c>
      <c r="AL34" s="54" t="s">
        <v>275</v>
      </c>
      <c r="AM34" s="54" t="s">
        <v>273</v>
      </c>
      <c r="AN34" s="54" t="s">
        <v>272</v>
      </c>
      <c r="AO34" s="54" t="s">
        <v>271</v>
      </c>
      <c r="AP34" s="54" t="s">
        <v>270</v>
      </c>
      <c r="AQ34" s="54" t="s">
        <v>269</v>
      </c>
      <c r="AR34" s="54" t="s">
        <v>268</v>
      </c>
      <c r="AS34" s="54" t="s">
        <v>351</v>
      </c>
      <c r="AT34" s="54" t="s">
        <v>352</v>
      </c>
      <c r="AU34" s="54" t="s">
        <v>353</v>
      </c>
      <c r="AV34" s="54" t="s">
        <v>354</v>
      </c>
      <c r="AW34" s="54" t="s">
        <v>355</v>
      </c>
      <c r="AX34" s="54" t="s">
        <v>357</v>
      </c>
      <c r="AY34" s="53" t="s">
        <v>406</v>
      </c>
      <c r="AZ34" s="54" t="s">
        <v>404</v>
      </c>
      <c r="BA34" s="54" t="s">
        <v>405</v>
      </c>
      <c r="BB34" s="59"/>
      <c r="BC34" s="58"/>
      <c r="BD34" s="11"/>
      <c r="BE34" s="11"/>
      <c r="BF34" s="11"/>
    </row>
    <row r="35" spans="1:58" x14ac:dyDescent="0.3">
      <c r="A35">
        <v>31</v>
      </c>
      <c r="D35" s="55" t="s">
        <v>437</v>
      </c>
      <c r="E35" s="2"/>
      <c r="F35" s="2"/>
      <c r="G35" s="2"/>
      <c r="H35" s="2"/>
      <c r="I35" s="2" t="s">
        <v>261</v>
      </c>
      <c r="J35" s="2"/>
      <c r="K35" s="2"/>
      <c r="L35" s="2"/>
      <c r="M35" s="2"/>
      <c r="N35" s="2"/>
      <c r="O35" s="2"/>
      <c r="P35" s="2"/>
      <c r="Q35" s="2"/>
      <c r="R35" s="2"/>
      <c r="S35" s="2"/>
      <c r="T35" s="2"/>
      <c r="U35" s="2"/>
      <c r="AC35" s="16">
        <f t="shared" si="0"/>
        <v>1</v>
      </c>
      <c r="AE35" s="50" t="s">
        <v>408</v>
      </c>
      <c r="AF35" s="46" t="s">
        <v>453</v>
      </c>
      <c r="AG35" s="46" t="s">
        <v>453</v>
      </c>
      <c r="AH35" s="46" t="s">
        <v>453</v>
      </c>
      <c r="AI35" s="46" t="s">
        <v>453</v>
      </c>
      <c r="AJ35" s="46" t="s">
        <v>453</v>
      </c>
      <c r="AK35" s="46" t="s">
        <v>405</v>
      </c>
      <c r="AL35" s="46" t="s">
        <v>453</v>
      </c>
      <c r="AM35" s="46" t="s">
        <v>453</v>
      </c>
      <c r="AN35" s="46" t="s">
        <v>453</v>
      </c>
      <c r="AO35" s="63" t="s">
        <v>453</v>
      </c>
      <c r="AP35" s="46" t="s">
        <v>405</v>
      </c>
      <c r="AQ35" s="46" t="s">
        <v>453</v>
      </c>
      <c r="AR35" s="46" t="s">
        <v>453</v>
      </c>
      <c r="AS35" s="46" t="s">
        <v>453</v>
      </c>
      <c r="AT35" s="46" t="s">
        <v>405</v>
      </c>
      <c r="AU35" s="46" t="s">
        <v>453</v>
      </c>
      <c r="AV35" s="46" t="s">
        <v>453</v>
      </c>
      <c r="AW35" s="46" t="s">
        <v>453</v>
      </c>
      <c r="AX35" s="46" t="s">
        <v>453</v>
      </c>
      <c r="AY35" s="61"/>
      <c r="AZ35" s="71"/>
      <c r="BA35" s="65">
        <v>3</v>
      </c>
      <c r="BB35" s="60"/>
      <c r="BC35" s="2"/>
    </row>
    <row r="36" spans="1:58" x14ac:dyDescent="0.3">
      <c r="A36">
        <v>32</v>
      </c>
      <c r="D36" s="55" t="s">
        <v>438</v>
      </c>
      <c r="E36" s="2"/>
      <c r="F36" s="2"/>
      <c r="G36" s="2"/>
      <c r="H36" s="2"/>
      <c r="I36" s="2"/>
      <c r="J36" s="2" t="s">
        <v>261</v>
      </c>
      <c r="K36" s="2"/>
      <c r="L36" s="2"/>
      <c r="M36" s="2"/>
      <c r="N36" s="2"/>
      <c r="O36" s="2"/>
      <c r="P36" s="2"/>
      <c r="Q36" s="2"/>
      <c r="R36" s="2"/>
      <c r="S36" s="2"/>
      <c r="T36" s="2"/>
      <c r="U36" s="2"/>
      <c r="AC36" s="16">
        <f t="shared" si="0"/>
        <v>1</v>
      </c>
      <c r="AE36" s="51" t="s">
        <v>409</v>
      </c>
      <c r="AF36" s="2" t="s">
        <v>454</v>
      </c>
      <c r="AG36" s="2" t="s">
        <v>406</v>
      </c>
      <c r="AH36" s="2" t="s">
        <v>454</v>
      </c>
      <c r="AI36" s="2" t="s">
        <v>454</v>
      </c>
      <c r="AJ36" s="2" t="s">
        <v>406</v>
      </c>
      <c r="AK36" s="2" t="s">
        <v>406</v>
      </c>
      <c r="AL36" s="2" t="s">
        <v>406</v>
      </c>
      <c r="AM36" s="2" t="s">
        <v>454</v>
      </c>
      <c r="AN36" s="2" t="s">
        <v>406</v>
      </c>
      <c r="AO36" s="64" t="s">
        <v>406</v>
      </c>
      <c r="AP36" s="2" t="s">
        <v>404</v>
      </c>
      <c r="AQ36" s="2" t="s">
        <v>406</v>
      </c>
      <c r="AR36" s="2" t="s">
        <v>454</v>
      </c>
      <c r="AS36" s="2" t="s">
        <v>406</v>
      </c>
      <c r="AT36" s="2" t="s">
        <v>454</v>
      </c>
      <c r="AU36" s="2" t="s">
        <v>406</v>
      </c>
      <c r="AV36" s="2" t="s">
        <v>406</v>
      </c>
      <c r="AW36" s="2" t="s">
        <v>406</v>
      </c>
      <c r="AX36" s="2" t="s">
        <v>404</v>
      </c>
      <c r="AY36" s="62">
        <v>11</v>
      </c>
      <c r="AZ36" s="2">
        <v>2</v>
      </c>
      <c r="BA36" s="2">
        <v>0</v>
      </c>
      <c r="BB36" s="60"/>
      <c r="BC36" s="2"/>
    </row>
    <row r="37" spans="1:58" x14ac:dyDescent="0.3">
      <c r="A37">
        <v>33</v>
      </c>
      <c r="D37" s="55" t="s">
        <v>439</v>
      </c>
      <c r="E37" s="2"/>
      <c r="F37" s="2"/>
      <c r="G37" s="2"/>
      <c r="H37" s="2"/>
      <c r="I37" s="2"/>
      <c r="J37" s="2" t="s">
        <v>261</v>
      </c>
      <c r="K37" s="2"/>
      <c r="L37" s="2"/>
      <c r="M37" s="2"/>
      <c r="N37" s="2"/>
      <c r="O37" s="2"/>
      <c r="P37" s="2"/>
      <c r="Q37" s="2"/>
      <c r="R37" s="2"/>
      <c r="S37" s="2"/>
      <c r="T37" s="2"/>
      <c r="U37" s="2"/>
      <c r="AC37" s="16">
        <f t="shared" si="0"/>
        <v>1</v>
      </c>
      <c r="AE37" s="51" t="s">
        <v>410</v>
      </c>
      <c r="AF37" s="2" t="s">
        <v>454</v>
      </c>
      <c r="AG37" s="2" t="s">
        <v>454</v>
      </c>
      <c r="AH37" s="2" t="s">
        <v>454</v>
      </c>
      <c r="AI37" s="2" t="s">
        <v>454</v>
      </c>
      <c r="AJ37" s="2" t="s">
        <v>454</v>
      </c>
      <c r="AK37" s="2" t="s">
        <v>406</v>
      </c>
      <c r="AL37" s="2" t="s">
        <v>454</v>
      </c>
      <c r="AM37" s="2" t="s">
        <v>406</v>
      </c>
      <c r="AN37" s="2" t="s">
        <v>406</v>
      </c>
      <c r="AO37" s="64" t="s">
        <v>406</v>
      </c>
      <c r="AP37" s="2" t="s">
        <v>406</v>
      </c>
      <c r="AQ37" s="2" t="s">
        <v>406</v>
      </c>
      <c r="AR37" s="2" t="s">
        <v>454</v>
      </c>
      <c r="AS37" s="2" t="s">
        <v>406</v>
      </c>
      <c r="AT37" s="2" t="s">
        <v>404</v>
      </c>
      <c r="AU37" s="2" t="s">
        <v>404</v>
      </c>
      <c r="AV37" s="2" t="s">
        <v>454</v>
      </c>
      <c r="AW37" s="2" t="s">
        <v>406</v>
      </c>
      <c r="AX37" s="2" t="s">
        <v>404</v>
      </c>
      <c r="AY37" s="62">
        <v>8</v>
      </c>
      <c r="AZ37" s="2">
        <v>3</v>
      </c>
      <c r="BA37" s="2">
        <v>0</v>
      </c>
      <c r="BB37" s="60"/>
      <c r="BC37" s="2"/>
    </row>
    <row r="38" spans="1:58" x14ac:dyDescent="0.3">
      <c r="A38">
        <v>34</v>
      </c>
      <c r="D38" s="55" t="s">
        <v>440</v>
      </c>
      <c r="E38" s="2"/>
      <c r="F38" s="2"/>
      <c r="G38" s="2"/>
      <c r="H38" s="2"/>
      <c r="I38" s="2"/>
      <c r="J38" s="2" t="s">
        <v>261</v>
      </c>
      <c r="K38" s="2"/>
      <c r="L38" s="2"/>
      <c r="M38" s="2"/>
      <c r="N38" s="2"/>
      <c r="O38" s="2"/>
      <c r="P38" s="2"/>
      <c r="Q38" s="2"/>
      <c r="R38" s="2"/>
      <c r="S38" s="2"/>
      <c r="T38" s="2"/>
      <c r="U38" s="2"/>
      <c r="AC38" s="16">
        <f t="shared" si="0"/>
        <v>1</v>
      </c>
      <c r="AE38" s="50" t="s">
        <v>411</v>
      </c>
      <c r="AF38" s="46" t="s">
        <v>454</v>
      </c>
      <c r="AG38" s="46" t="s">
        <v>453</v>
      </c>
      <c r="AH38" s="46" t="s">
        <v>454</v>
      </c>
      <c r="AI38" s="46" t="s">
        <v>454</v>
      </c>
      <c r="AJ38" s="46" t="s">
        <v>453</v>
      </c>
      <c r="AK38" s="46" t="s">
        <v>453</v>
      </c>
      <c r="AL38" s="46" t="s">
        <v>454</v>
      </c>
      <c r="AM38" s="46" t="s">
        <v>453</v>
      </c>
      <c r="AN38" s="46" t="s">
        <v>453</v>
      </c>
      <c r="AO38" s="45" t="s">
        <v>454</v>
      </c>
      <c r="AP38" s="46" t="s">
        <v>453</v>
      </c>
      <c r="AQ38" s="46" t="s">
        <v>454</v>
      </c>
      <c r="AR38" s="46" t="s">
        <v>453</v>
      </c>
      <c r="AS38" s="46" t="s">
        <v>453</v>
      </c>
      <c r="AT38" s="46" t="s">
        <v>454</v>
      </c>
      <c r="AU38" s="46" t="s">
        <v>454</v>
      </c>
      <c r="AV38" s="46" t="s">
        <v>453</v>
      </c>
      <c r="AW38" s="46" t="s">
        <v>454</v>
      </c>
      <c r="AX38" s="46" t="s">
        <v>454</v>
      </c>
      <c r="AY38" s="61"/>
      <c r="AZ38" s="46"/>
      <c r="BA38" s="46"/>
      <c r="BB38" s="60"/>
      <c r="BC38" s="2"/>
    </row>
    <row r="39" spans="1:58" x14ac:dyDescent="0.3">
      <c r="A39">
        <v>35</v>
      </c>
      <c r="D39" s="55" t="s">
        <v>441</v>
      </c>
      <c r="E39" s="2"/>
      <c r="F39" s="2"/>
      <c r="G39" s="2"/>
      <c r="H39" s="2"/>
      <c r="I39" s="2"/>
      <c r="J39" s="2" t="s">
        <v>261</v>
      </c>
      <c r="K39" s="2"/>
      <c r="L39" s="2"/>
      <c r="M39" s="2"/>
      <c r="N39" s="2"/>
      <c r="O39" s="2"/>
      <c r="P39" s="2"/>
      <c r="Q39" s="2"/>
      <c r="R39" s="2"/>
      <c r="S39" s="2"/>
      <c r="T39" s="2"/>
      <c r="U39" s="2"/>
      <c r="AC39" s="16">
        <f t="shared" si="0"/>
        <v>1</v>
      </c>
      <c r="AE39" s="51" t="s">
        <v>412</v>
      </c>
      <c r="AF39" s="2" t="s">
        <v>454</v>
      </c>
      <c r="AG39" s="2" t="s">
        <v>404</v>
      </c>
      <c r="AH39" s="2" t="s">
        <v>406</v>
      </c>
      <c r="AI39" s="2" t="s">
        <v>406</v>
      </c>
      <c r="AJ39" s="2" t="s">
        <v>454</v>
      </c>
      <c r="AK39" s="2" t="s">
        <v>454</v>
      </c>
      <c r="AL39" s="2" t="s">
        <v>406</v>
      </c>
      <c r="AM39" s="2" t="s">
        <v>454</v>
      </c>
      <c r="AN39" s="2" t="s">
        <v>406</v>
      </c>
      <c r="AO39" s="57" t="s">
        <v>454</v>
      </c>
      <c r="AP39" s="2" t="s">
        <v>454</v>
      </c>
      <c r="AQ39" s="2" t="s">
        <v>454</v>
      </c>
      <c r="AR39" s="2" t="s">
        <v>454</v>
      </c>
      <c r="AS39" s="2" t="s">
        <v>454</v>
      </c>
      <c r="AT39" s="2" t="s">
        <v>454</v>
      </c>
      <c r="AU39" s="2" t="s">
        <v>406</v>
      </c>
      <c r="AV39" s="2" t="s">
        <v>454</v>
      </c>
      <c r="AW39" s="2" t="s">
        <v>406</v>
      </c>
      <c r="AX39" s="2" t="s">
        <v>406</v>
      </c>
      <c r="AY39" s="62">
        <v>7</v>
      </c>
      <c r="AZ39" s="2">
        <v>1</v>
      </c>
      <c r="BA39" s="2">
        <v>0</v>
      </c>
      <c r="BB39" s="60"/>
      <c r="BC39" s="2"/>
    </row>
    <row r="40" spans="1:58" x14ac:dyDescent="0.3">
      <c r="A40">
        <v>36</v>
      </c>
      <c r="D40" s="55" t="s">
        <v>442</v>
      </c>
      <c r="E40" s="2"/>
      <c r="F40" s="2"/>
      <c r="G40" s="2"/>
      <c r="H40" s="2"/>
      <c r="I40" s="2"/>
      <c r="J40" s="2"/>
      <c r="K40" s="2"/>
      <c r="L40" s="2"/>
      <c r="M40" s="2" t="s">
        <v>261</v>
      </c>
      <c r="N40" s="2"/>
      <c r="O40" s="2"/>
      <c r="P40" s="2"/>
      <c r="Q40" s="2"/>
      <c r="R40" s="2"/>
      <c r="S40" s="2"/>
      <c r="T40" s="2"/>
      <c r="U40" s="2"/>
      <c r="AC40" s="16">
        <f t="shared" si="0"/>
        <v>1</v>
      </c>
      <c r="AE40" s="51" t="s">
        <v>413</v>
      </c>
      <c r="AF40" s="2" t="s">
        <v>454</v>
      </c>
      <c r="AG40" s="2" t="s">
        <v>406</v>
      </c>
      <c r="AH40" s="2" t="s">
        <v>454</v>
      </c>
      <c r="AI40" s="2" t="s">
        <v>454</v>
      </c>
      <c r="AJ40" s="2" t="s">
        <v>454</v>
      </c>
      <c r="AK40" s="2" t="s">
        <v>454</v>
      </c>
      <c r="AL40" s="2" t="s">
        <v>406</v>
      </c>
      <c r="AM40" s="2" t="s">
        <v>406</v>
      </c>
      <c r="AN40" s="2" t="s">
        <v>454</v>
      </c>
      <c r="AO40" s="57" t="s">
        <v>454</v>
      </c>
      <c r="AP40" s="2" t="s">
        <v>404</v>
      </c>
      <c r="AQ40" s="2" t="s">
        <v>454</v>
      </c>
      <c r="AR40" s="2" t="s">
        <v>454</v>
      </c>
      <c r="AS40" s="2" t="s">
        <v>406</v>
      </c>
      <c r="AT40" s="2" t="s">
        <v>454</v>
      </c>
      <c r="AU40" s="2" t="s">
        <v>454</v>
      </c>
      <c r="AV40" s="2" t="s">
        <v>406</v>
      </c>
      <c r="AW40" s="2" t="s">
        <v>454</v>
      </c>
      <c r="AX40" s="2" t="s">
        <v>454</v>
      </c>
      <c r="AY40" s="62">
        <v>5</v>
      </c>
      <c r="AZ40" s="2">
        <v>1</v>
      </c>
      <c r="BA40" s="2">
        <v>0</v>
      </c>
      <c r="BB40" s="60"/>
      <c r="BC40" s="2"/>
    </row>
    <row r="41" spans="1:58" x14ac:dyDescent="0.3">
      <c r="A41">
        <v>37</v>
      </c>
      <c r="D41" s="55" t="s">
        <v>443</v>
      </c>
      <c r="E41" s="2"/>
      <c r="F41" s="2"/>
      <c r="G41" s="2"/>
      <c r="H41" s="2"/>
      <c r="I41" s="2"/>
      <c r="J41" s="2"/>
      <c r="K41" s="2"/>
      <c r="L41" s="2"/>
      <c r="M41" s="2"/>
      <c r="N41" s="2" t="s">
        <v>261</v>
      </c>
      <c r="O41" s="2"/>
      <c r="P41" s="2"/>
      <c r="Q41" s="2"/>
      <c r="R41" s="2"/>
      <c r="S41" s="2"/>
      <c r="T41" s="2"/>
      <c r="U41" s="2"/>
      <c r="AC41" s="16">
        <f t="shared" si="0"/>
        <v>1</v>
      </c>
      <c r="AE41" s="51" t="s">
        <v>455</v>
      </c>
      <c r="AF41" s="2" t="s">
        <v>454</v>
      </c>
      <c r="AG41" s="2" t="s">
        <v>454</v>
      </c>
      <c r="AH41" s="2" t="s">
        <v>454</v>
      </c>
      <c r="AI41" s="2" t="s">
        <v>406</v>
      </c>
      <c r="AJ41" s="2" t="s">
        <v>454</v>
      </c>
      <c r="AK41" s="2" t="s">
        <v>406</v>
      </c>
      <c r="AL41" s="2" t="s">
        <v>454</v>
      </c>
      <c r="AM41" s="2" t="s">
        <v>454</v>
      </c>
      <c r="AN41" s="2" t="s">
        <v>454</v>
      </c>
      <c r="AO41" s="57" t="s">
        <v>454</v>
      </c>
      <c r="AP41" s="2" t="s">
        <v>454</v>
      </c>
      <c r="AQ41" s="2" t="s">
        <v>454</v>
      </c>
      <c r="AR41" s="2" t="s">
        <v>454</v>
      </c>
      <c r="AS41" s="2" t="s">
        <v>406</v>
      </c>
      <c r="AT41" s="2" t="s">
        <v>454</v>
      </c>
      <c r="AU41" s="2" t="s">
        <v>454</v>
      </c>
      <c r="AV41" s="2" t="s">
        <v>406</v>
      </c>
      <c r="AW41" s="2" t="s">
        <v>454</v>
      </c>
      <c r="AX41" s="2" t="s">
        <v>406</v>
      </c>
      <c r="AY41" s="62">
        <v>5</v>
      </c>
      <c r="AZ41" s="2">
        <v>0</v>
      </c>
      <c r="BA41" s="2">
        <v>0</v>
      </c>
      <c r="BB41" s="60"/>
      <c r="BC41" s="2"/>
    </row>
    <row r="42" spans="1:58" x14ac:dyDescent="0.3">
      <c r="A42">
        <v>38</v>
      </c>
      <c r="D42" s="55" t="s">
        <v>444</v>
      </c>
      <c r="E42" s="2"/>
      <c r="F42" s="2"/>
      <c r="G42" s="2"/>
      <c r="H42" s="2"/>
      <c r="I42" s="2"/>
      <c r="J42" s="2"/>
      <c r="K42" s="2"/>
      <c r="L42" s="2"/>
      <c r="M42" s="2"/>
      <c r="N42" s="2"/>
      <c r="O42" s="2" t="s">
        <v>261</v>
      </c>
      <c r="P42" s="2"/>
      <c r="Q42" s="2"/>
      <c r="R42" s="2"/>
      <c r="S42" s="2"/>
      <c r="T42" s="2"/>
      <c r="U42" s="2"/>
      <c r="AC42" s="16">
        <f t="shared" si="0"/>
        <v>1</v>
      </c>
      <c r="AE42" s="51" t="s">
        <v>450</v>
      </c>
      <c r="AF42" s="42" t="s">
        <v>406</v>
      </c>
      <c r="AG42" s="2" t="s">
        <v>454</v>
      </c>
      <c r="AH42" s="2" t="s">
        <v>406</v>
      </c>
      <c r="AI42" s="2" t="s">
        <v>454</v>
      </c>
      <c r="AJ42" s="2" t="s">
        <v>454</v>
      </c>
      <c r="AK42" s="2" t="s">
        <v>454</v>
      </c>
      <c r="AL42" s="2" t="s">
        <v>406</v>
      </c>
      <c r="AM42" s="2" t="s">
        <v>454</v>
      </c>
      <c r="AN42" s="2" t="s">
        <v>454</v>
      </c>
      <c r="AO42" s="57" t="s">
        <v>454</v>
      </c>
      <c r="AP42" s="2" t="s">
        <v>406</v>
      </c>
      <c r="AQ42" s="2" t="s">
        <v>454</v>
      </c>
      <c r="AR42" s="2" t="s">
        <v>454</v>
      </c>
      <c r="AS42" s="2" t="s">
        <v>454</v>
      </c>
      <c r="AT42" s="2" t="s">
        <v>454</v>
      </c>
      <c r="AU42" s="2" t="s">
        <v>454</v>
      </c>
      <c r="AV42" s="2" t="s">
        <v>454</v>
      </c>
      <c r="AW42" s="2" t="s">
        <v>454</v>
      </c>
      <c r="AX42" s="2" t="s">
        <v>454</v>
      </c>
      <c r="AY42" s="62">
        <v>4</v>
      </c>
      <c r="AZ42" s="2">
        <v>0</v>
      </c>
      <c r="BA42" s="2">
        <v>0</v>
      </c>
      <c r="BB42" s="60"/>
      <c r="BC42" s="2"/>
    </row>
    <row r="43" spans="1:58" x14ac:dyDescent="0.3">
      <c r="A43">
        <v>39</v>
      </c>
      <c r="D43" s="55" t="s">
        <v>445</v>
      </c>
      <c r="E43" s="2"/>
      <c r="F43" s="2"/>
      <c r="G43" s="2"/>
      <c r="H43" s="2"/>
      <c r="I43" s="2"/>
      <c r="J43" s="2"/>
      <c r="K43" s="2"/>
      <c r="L43" s="2"/>
      <c r="M43" s="2"/>
      <c r="N43" s="2"/>
      <c r="O43" s="2"/>
      <c r="P43" s="2" t="s">
        <v>261</v>
      </c>
      <c r="Q43" s="2"/>
      <c r="R43" s="2"/>
      <c r="S43" s="2"/>
      <c r="T43" s="2"/>
      <c r="U43" s="2"/>
      <c r="AC43" s="16">
        <f t="shared" si="0"/>
        <v>1</v>
      </c>
      <c r="AE43" s="67"/>
      <c r="AF43" s="68"/>
      <c r="AG43" s="13"/>
      <c r="AH43" s="13"/>
      <c r="AI43" s="13"/>
      <c r="AJ43" s="13"/>
      <c r="AK43" s="13"/>
      <c r="AL43" s="13"/>
      <c r="AM43" s="13"/>
      <c r="AN43" s="13"/>
      <c r="AO43" s="69"/>
      <c r="AP43" s="13"/>
      <c r="AQ43" s="13"/>
      <c r="AR43" s="13"/>
      <c r="AS43" s="13"/>
      <c r="AT43" s="13"/>
      <c r="AU43" s="13"/>
      <c r="AV43" s="13"/>
      <c r="AW43" s="13"/>
      <c r="AX43" s="13"/>
      <c r="AY43" s="68"/>
      <c r="AZ43" s="13"/>
      <c r="BA43" s="70"/>
      <c r="BB43" s="60"/>
      <c r="BC43" s="2"/>
    </row>
    <row r="44" spans="1:58" x14ac:dyDescent="0.3">
      <c r="A44">
        <v>40</v>
      </c>
      <c r="D44" s="49" t="s">
        <v>446</v>
      </c>
      <c r="E44" s="10"/>
      <c r="F44" s="10"/>
      <c r="G44" s="10"/>
      <c r="H44" s="10"/>
      <c r="I44" s="10"/>
      <c r="J44" s="10"/>
      <c r="K44" s="10"/>
      <c r="L44" s="10"/>
      <c r="M44" s="10"/>
      <c r="N44" s="10"/>
      <c r="O44" s="10"/>
      <c r="P44" s="10"/>
      <c r="Q44" s="10"/>
      <c r="R44" s="10"/>
      <c r="S44" s="10"/>
      <c r="T44" s="10" t="s">
        <v>261</v>
      </c>
      <c r="U44" s="10"/>
      <c r="V44" s="12"/>
      <c r="W44" s="12"/>
      <c r="X44" s="12"/>
      <c r="Y44" s="12"/>
      <c r="Z44" s="12"/>
      <c r="AA44" s="12"/>
      <c r="AB44" s="12"/>
      <c r="AC44" s="17">
        <f t="shared" si="0"/>
        <v>1</v>
      </c>
    </row>
    <row r="45" spans="1:58" x14ac:dyDescent="0.3">
      <c r="D45" s="56"/>
      <c r="E45" s="2"/>
      <c r="F45" s="2"/>
      <c r="G45" s="2"/>
      <c r="H45" s="2"/>
      <c r="I45" s="2"/>
      <c r="J45" s="2"/>
      <c r="K45" s="2"/>
      <c r="L45" s="2"/>
      <c r="M45" s="2"/>
      <c r="N45" s="2"/>
      <c r="O45" s="2"/>
      <c r="P45" s="2"/>
      <c r="Q45" s="2"/>
      <c r="R45" s="2"/>
      <c r="S45" s="2"/>
      <c r="T45" s="2"/>
      <c r="U45" s="2"/>
    </row>
    <row r="46" spans="1:58" x14ac:dyDescent="0.3">
      <c r="D46" s="56"/>
      <c r="E46" s="2"/>
      <c r="F46" s="2"/>
      <c r="G46" s="2"/>
      <c r="H46" s="2"/>
      <c r="I46" s="2"/>
      <c r="J46" s="2"/>
      <c r="K46" s="2"/>
      <c r="L46" s="2"/>
      <c r="M46" s="2"/>
      <c r="N46" s="2"/>
      <c r="O46" s="2"/>
      <c r="P46" s="2"/>
      <c r="Q46" s="2"/>
      <c r="R46" s="2"/>
      <c r="S46" s="2"/>
      <c r="T46" s="2"/>
      <c r="U46" s="2"/>
    </row>
    <row r="47" spans="1:58" x14ac:dyDescent="0.3">
      <c r="E47" s="2"/>
      <c r="F47" s="2"/>
      <c r="G47" s="2"/>
      <c r="H47" s="2"/>
      <c r="I47" s="2"/>
      <c r="J47" s="2"/>
      <c r="K47" s="2"/>
      <c r="L47" s="2"/>
      <c r="M47" s="2"/>
      <c r="N47" s="2"/>
      <c r="O47" s="2"/>
      <c r="P47" s="2"/>
      <c r="Q47" s="2"/>
      <c r="R47" s="2"/>
      <c r="S47" s="2"/>
      <c r="T47" s="2"/>
      <c r="U47" s="2"/>
    </row>
  </sheetData>
  <sortState xmlns:xlrd2="http://schemas.microsoft.com/office/spreadsheetml/2017/richdata2" ref="D5:AC46">
    <sortCondition descending="1" ref="AC5:AC46"/>
  </sortState>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062D-72B5-4BB5-9418-0AF0DB4ACB38}">
  <dimension ref="B4:C111"/>
  <sheetViews>
    <sheetView topLeftCell="A11" zoomScale="70" zoomScaleNormal="70" workbookViewId="0">
      <selection activeCell="C48" sqref="C48"/>
    </sheetView>
  </sheetViews>
  <sheetFormatPr defaultRowHeight="14.4" x14ac:dyDescent="0.3"/>
  <cols>
    <col min="3" max="3" width="53.44140625" customWidth="1"/>
  </cols>
  <sheetData>
    <row r="4" spans="2:3" x14ac:dyDescent="0.3">
      <c r="B4" t="s">
        <v>11</v>
      </c>
      <c r="C4" t="s">
        <v>12</v>
      </c>
    </row>
    <row r="5" spans="2:3" ht="28.8" x14ac:dyDescent="0.3">
      <c r="B5" s="76">
        <v>1</v>
      </c>
      <c r="C5" s="1" t="s">
        <v>39</v>
      </c>
    </row>
    <row r="6" spans="2:3" ht="43.2" x14ac:dyDescent="0.3">
      <c r="B6" s="76"/>
      <c r="C6" s="3" t="s">
        <v>40</v>
      </c>
    </row>
    <row r="7" spans="2:3" ht="28.8" x14ac:dyDescent="0.3">
      <c r="B7" s="76">
        <v>2</v>
      </c>
      <c r="C7" s="1" t="s">
        <v>41</v>
      </c>
    </row>
    <row r="8" spans="2:3" ht="28.8" x14ac:dyDescent="0.3">
      <c r="B8" s="76"/>
      <c r="C8" s="3" t="s">
        <v>42</v>
      </c>
    </row>
    <row r="9" spans="2:3" ht="43.2" x14ac:dyDescent="0.3">
      <c r="B9" s="76">
        <v>3</v>
      </c>
      <c r="C9" s="1" t="s">
        <v>43</v>
      </c>
    </row>
    <row r="10" spans="2:3" x14ac:dyDescent="0.3">
      <c r="B10" s="76"/>
      <c r="C10" s="3" t="s">
        <v>44</v>
      </c>
    </row>
    <row r="11" spans="2:3" ht="28.8" x14ac:dyDescent="0.3">
      <c r="B11" s="76">
        <v>4</v>
      </c>
      <c r="C11" s="1" t="s">
        <v>45</v>
      </c>
    </row>
    <row r="12" spans="2:3" x14ac:dyDescent="0.3">
      <c r="B12" s="76"/>
      <c r="C12" s="3" t="s">
        <v>46</v>
      </c>
    </row>
    <row r="13" spans="2:3" x14ac:dyDescent="0.3">
      <c r="B13" s="76">
        <v>5</v>
      </c>
      <c r="C13" s="1" t="s">
        <v>47</v>
      </c>
    </row>
    <row r="14" spans="2:3" ht="28.8" x14ac:dyDescent="0.3">
      <c r="B14" s="76"/>
      <c r="C14" s="3" t="s">
        <v>48</v>
      </c>
    </row>
    <row r="15" spans="2:3" ht="28.8" x14ac:dyDescent="0.3">
      <c r="B15" s="76">
        <v>6</v>
      </c>
      <c r="C15" s="1" t="s">
        <v>49</v>
      </c>
    </row>
    <row r="16" spans="2:3" x14ac:dyDescent="0.3">
      <c r="B16" s="76"/>
      <c r="C16" s="3" t="s">
        <v>50</v>
      </c>
    </row>
    <row r="17" spans="2:3" ht="43.2" x14ac:dyDescent="0.3">
      <c r="B17" s="76">
        <v>7</v>
      </c>
      <c r="C17" s="1" t="s">
        <v>51</v>
      </c>
    </row>
    <row r="18" spans="2:3" ht="43.2" x14ac:dyDescent="0.3">
      <c r="B18" s="76"/>
      <c r="C18" s="3" t="s">
        <v>52</v>
      </c>
    </row>
    <row r="19" spans="2:3" ht="43.2" x14ac:dyDescent="0.3">
      <c r="B19" s="76">
        <v>8</v>
      </c>
      <c r="C19" s="1" t="s">
        <v>53</v>
      </c>
    </row>
    <row r="20" spans="2:3" ht="28.8" x14ac:dyDescent="0.3">
      <c r="B20" s="76"/>
      <c r="C20" s="3" t="s">
        <v>54</v>
      </c>
    </row>
    <row r="21" spans="2:3" ht="28.8" x14ac:dyDescent="0.3">
      <c r="B21" s="76">
        <v>9</v>
      </c>
      <c r="C21" s="1" t="s">
        <v>55</v>
      </c>
    </row>
    <row r="22" spans="2:3" x14ac:dyDescent="0.3">
      <c r="B22" s="76"/>
      <c r="C22" s="3" t="s">
        <v>56</v>
      </c>
    </row>
    <row r="23" spans="2:3" ht="43.2" x14ac:dyDescent="0.3">
      <c r="B23" s="76">
        <v>10</v>
      </c>
      <c r="C23" s="1" t="s">
        <v>57</v>
      </c>
    </row>
    <row r="24" spans="2:3" ht="28.8" x14ac:dyDescent="0.3">
      <c r="B24" s="76"/>
      <c r="C24" s="3" t="s">
        <v>58</v>
      </c>
    </row>
    <row r="25" spans="2:3" ht="28.8" x14ac:dyDescent="0.3">
      <c r="B25" s="76">
        <v>11</v>
      </c>
      <c r="C25" s="1" t="s">
        <v>59</v>
      </c>
    </row>
    <row r="26" spans="2:3" x14ac:dyDescent="0.3">
      <c r="B26" s="76"/>
      <c r="C26" s="3" t="s">
        <v>60</v>
      </c>
    </row>
    <row r="27" spans="2:3" ht="43.2" x14ac:dyDescent="0.3">
      <c r="B27" s="76">
        <v>12</v>
      </c>
      <c r="C27" s="1" t="s">
        <v>61</v>
      </c>
    </row>
    <row r="28" spans="2:3" ht="28.8" x14ac:dyDescent="0.3">
      <c r="B28" s="76"/>
      <c r="C28" s="3" t="s">
        <v>62</v>
      </c>
    </row>
    <row r="29" spans="2:3" ht="28.8" x14ac:dyDescent="0.3">
      <c r="B29" s="76">
        <v>13</v>
      </c>
      <c r="C29" s="1" t="s">
        <v>63</v>
      </c>
    </row>
    <row r="30" spans="2:3" ht="28.8" x14ac:dyDescent="0.3">
      <c r="B30" s="76"/>
      <c r="C30" s="3" t="s">
        <v>64</v>
      </c>
    </row>
    <row r="31" spans="2:3" ht="43.2" x14ac:dyDescent="0.3">
      <c r="B31" s="76">
        <v>14</v>
      </c>
      <c r="C31" s="1" t="s">
        <v>65</v>
      </c>
    </row>
    <row r="32" spans="2:3" ht="28.8" x14ac:dyDescent="0.3">
      <c r="B32" s="76"/>
      <c r="C32" s="3" t="s">
        <v>66</v>
      </c>
    </row>
    <row r="33" spans="2:3" ht="43.2" x14ac:dyDescent="0.3">
      <c r="B33" s="76">
        <v>15</v>
      </c>
      <c r="C33" s="1" t="s">
        <v>67</v>
      </c>
    </row>
    <row r="34" spans="2:3" x14ac:dyDescent="0.3">
      <c r="B34" s="76"/>
      <c r="C34" s="3" t="s">
        <v>68</v>
      </c>
    </row>
    <row r="35" spans="2:3" ht="43.2" x14ac:dyDescent="0.3">
      <c r="B35" s="76">
        <v>16</v>
      </c>
      <c r="C35" s="1" t="s">
        <v>69</v>
      </c>
    </row>
    <row r="36" spans="2:3" ht="28.8" x14ac:dyDescent="0.3">
      <c r="B36" s="76"/>
      <c r="C36" s="3" t="s">
        <v>70</v>
      </c>
    </row>
    <row r="37" spans="2:3" ht="43.2" x14ac:dyDescent="0.3">
      <c r="B37" s="76">
        <v>17</v>
      </c>
      <c r="C37" s="1" t="s">
        <v>71</v>
      </c>
    </row>
    <row r="38" spans="2:3" x14ac:dyDescent="0.3">
      <c r="B38" s="76"/>
      <c r="C38" s="3" t="s">
        <v>72</v>
      </c>
    </row>
    <row r="39" spans="2:3" ht="28.8" x14ac:dyDescent="0.3">
      <c r="B39" s="76">
        <v>18</v>
      </c>
      <c r="C39" s="1" t="s">
        <v>74</v>
      </c>
    </row>
    <row r="40" spans="2:3" ht="28.8" x14ac:dyDescent="0.3">
      <c r="B40" s="76"/>
      <c r="C40" s="3" t="s">
        <v>73</v>
      </c>
    </row>
    <row r="41" spans="2:3" ht="43.2" x14ac:dyDescent="0.3">
      <c r="B41" s="76">
        <v>19</v>
      </c>
      <c r="C41" s="1" t="s">
        <v>75</v>
      </c>
    </row>
    <row r="42" spans="2:3" ht="43.2" x14ac:dyDescent="0.3">
      <c r="B42" s="76"/>
      <c r="C42" s="3" t="s">
        <v>76</v>
      </c>
    </row>
    <row r="43" spans="2:3" ht="43.2" x14ac:dyDescent="0.3">
      <c r="B43" s="76">
        <v>20</v>
      </c>
      <c r="C43" s="1" t="s">
        <v>81</v>
      </c>
    </row>
    <row r="44" spans="2:3" ht="57.6" x14ac:dyDescent="0.3">
      <c r="B44" s="76"/>
      <c r="C44" s="3" t="s">
        <v>82</v>
      </c>
    </row>
    <row r="45" spans="2:3" x14ac:dyDescent="0.3">
      <c r="B45" s="76">
        <v>21</v>
      </c>
      <c r="C45" s="1" t="s">
        <v>83</v>
      </c>
    </row>
    <row r="46" spans="2:3" ht="43.2" x14ac:dyDescent="0.3">
      <c r="B46" s="76"/>
      <c r="C46" s="3" t="s">
        <v>84</v>
      </c>
    </row>
    <row r="47" spans="2:3" x14ac:dyDescent="0.3">
      <c r="B47" s="76">
        <v>22</v>
      </c>
      <c r="C47" s="1"/>
    </row>
    <row r="48" spans="2:3" x14ac:dyDescent="0.3">
      <c r="B48" s="76"/>
      <c r="C48" s="1"/>
    </row>
    <row r="49" spans="2:3" x14ac:dyDescent="0.3">
      <c r="B49">
        <v>23</v>
      </c>
      <c r="C49" s="1"/>
    </row>
    <row r="50" spans="2:3" x14ac:dyDescent="0.3">
      <c r="C50" s="1"/>
    </row>
    <row r="51" spans="2:3" x14ac:dyDescent="0.3">
      <c r="C51" s="1"/>
    </row>
    <row r="52" spans="2:3" x14ac:dyDescent="0.3">
      <c r="C52" s="1"/>
    </row>
    <row r="53" spans="2:3" x14ac:dyDescent="0.3">
      <c r="C53" s="1"/>
    </row>
    <row r="54" spans="2:3" x14ac:dyDescent="0.3">
      <c r="C54" s="1"/>
    </row>
    <row r="55" spans="2:3" x14ac:dyDescent="0.3">
      <c r="C55" s="1"/>
    </row>
    <row r="56" spans="2:3" x14ac:dyDescent="0.3">
      <c r="C56" s="1"/>
    </row>
    <row r="57" spans="2:3" x14ac:dyDescent="0.3">
      <c r="C57" s="1"/>
    </row>
    <row r="58" spans="2:3" x14ac:dyDescent="0.3">
      <c r="C58" s="1"/>
    </row>
    <row r="59" spans="2:3" x14ac:dyDescent="0.3">
      <c r="C59" s="1"/>
    </row>
    <row r="60" spans="2:3" x14ac:dyDescent="0.3">
      <c r="C60" s="1"/>
    </row>
    <row r="61" spans="2:3" x14ac:dyDescent="0.3">
      <c r="C61" s="1"/>
    </row>
    <row r="62" spans="2:3" x14ac:dyDescent="0.3">
      <c r="C62" s="1"/>
    </row>
    <row r="63" spans="2:3" x14ac:dyDescent="0.3">
      <c r="C63" s="1"/>
    </row>
    <row r="64" spans="2:3" x14ac:dyDescent="0.3">
      <c r="C64" s="1"/>
    </row>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row r="71" spans="3:3" x14ac:dyDescent="0.3">
      <c r="C71" s="1"/>
    </row>
    <row r="72" spans="3:3" x14ac:dyDescent="0.3">
      <c r="C72" s="1"/>
    </row>
    <row r="73" spans="3:3" x14ac:dyDescent="0.3">
      <c r="C73" s="1"/>
    </row>
    <row r="74" spans="3:3" x14ac:dyDescent="0.3">
      <c r="C74" s="1"/>
    </row>
    <row r="75" spans="3:3" x14ac:dyDescent="0.3">
      <c r="C75" s="1"/>
    </row>
    <row r="76" spans="3:3" x14ac:dyDescent="0.3">
      <c r="C76" s="1"/>
    </row>
    <row r="77" spans="3:3" x14ac:dyDescent="0.3">
      <c r="C77" s="1"/>
    </row>
    <row r="78" spans="3:3" x14ac:dyDescent="0.3">
      <c r="C78" s="1"/>
    </row>
    <row r="79" spans="3:3" x14ac:dyDescent="0.3">
      <c r="C79" s="1"/>
    </row>
    <row r="80" spans="3:3" x14ac:dyDescent="0.3">
      <c r="C80" s="1"/>
    </row>
    <row r="81" spans="3:3" x14ac:dyDescent="0.3">
      <c r="C81" s="1"/>
    </row>
    <row r="82" spans="3:3" x14ac:dyDescent="0.3">
      <c r="C82" s="1"/>
    </row>
    <row r="83" spans="3:3" x14ac:dyDescent="0.3">
      <c r="C83" s="1"/>
    </row>
    <row r="84" spans="3:3" x14ac:dyDescent="0.3">
      <c r="C84" s="1"/>
    </row>
    <row r="85" spans="3:3" x14ac:dyDescent="0.3">
      <c r="C85" s="1"/>
    </row>
    <row r="86" spans="3:3" x14ac:dyDescent="0.3">
      <c r="C86" s="1"/>
    </row>
    <row r="87" spans="3:3" x14ac:dyDescent="0.3">
      <c r="C87" s="1"/>
    </row>
    <row r="88" spans="3:3" x14ac:dyDescent="0.3">
      <c r="C88" s="1"/>
    </row>
    <row r="89" spans="3:3" x14ac:dyDescent="0.3">
      <c r="C89" s="1"/>
    </row>
    <row r="90" spans="3:3" x14ac:dyDescent="0.3">
      <c r="C90" s="1"/>
    </row>
    <row r="91" spans="3:3" x14ac:dyDescent="0.3">
      <c r="C91" s="1"/>
    </row>
    <row r="92" spans="3:3" x14ac:dyDescent="0.3">
      <c r="C92" s="1"/>
    </row>
    <row r="93" spans="3:3" x14ac:dyDescent="0.3">
      <c r="C93" s="1"/>
    </row>
    <row r="94" spans="3:3" x14ac:dyDescent="0.3">
      <c r="C94" s="1"/>
    </row>
    <row r="95" spans="3:3" x14ac:dyDescent="0.3">
      <c r="C95" s="1"/>
    </row>
    <row r="96" spans="3:3" x14ac:dyDescent="0.3">
      <c r="C96" s="1"/>
    </row>
    <row r="97" spans="3:3" x14ac:dyDescent="0.3">
      <c r="C97" s="1"/>
    </row>
    <row r="98" spans="3:3" x14ac:dyDescent="0.3">
      <c r="C98" s="1"/>
    </row>
    <row r="99" spans="3:3" x14ac:dyDescent="0.3">
      <c r="C99" s="1"/>
    </row>
    <row r="100" spans="3:3" x14ac:dyDescent="0.3">
      <c r="C100" s="1"/>
    </row>
    <row r="101" spans="3:3" x14ac:dyDescent="0.3">
      <c r="C101" s="1"/>
    </row>
    <row r="102" spans="3:3" x14ac:dyDescent="0.3">
      <c r="C102" s="1"/>
    </row>
    <row r="103" spans="3:3" x14ac:dyDescent="0.3">
      <c r="C103" s="1"/>
    </row>
    <row r="104" spans="3:3" x14ac:dyDescent="0.3">
      <c r="C104" s="1"/>
    </row>
    <row r="105" spans="3:3" x14ac:dyDescent="0.3">
      <c r="C105" s="1"/>
    </row>
    <row r="106" spans="3:3" x14ac:dyDescent="0.3">
      <c r="C106" s="1"/>
    </row>
    <row r="107" spans="3:3" x14ac:dyDescent="0.3">
      <c r="C107" s="1"/>
    </row>
    <row r="108" spans="3:3" x14ac:dyDescent="0.3">
      <c r="C108" s="1"/>
    </row>
    <row r="109" spans="3:3" x14ac:dyDescent="0.3">
      <c r="C109" s="1"/>
    </row>
    <row r="110" spans="3:3" x14ac:dyDescent="0.3">
      <c r="C110" s="1"/>
    </row>
    <row r="111" spans="3:3" x14ac:dyDescent="0.3">
      <c r="C111" s="1"/>
    </row>
  </sheetData>
  <mergeCells count="22">
    <mergeCell ref="B11:B12"/>
    <mergeCell ref="B9:B10"/>
    <mergeCell ref="B7:B8"/>
    <mergeCell ref="B5:B6"/>
    <mergeCell ref="B23:B24"/>
    <mergeCell ref="B21:B22"/>
    <mergeCell ref="B19:B20"/>
    <mergeCell ref="B17:B18"/>
    <mergeCell ref="B15:B16"/>
    <mergeCell ref="B13:B14"/>
    <mergeCell ref="B25:B26"/>
    <mergeCell ref="B47:B48"/>
    <mergeCell ref="B45:B46"/>
    <mergeCell ref="B43:B44"/>
    <mergeCell ref="B41:B42"/>
    <mergeCell ref="B39:B40"/>
    <mergeCell ref="B37:B38"/>
    <mergeCell ref="B35:B36"/>
    <mergeCell ref="B33:B34"/>
    <mergeCell ref="B31:B32"/>
    <mergeCell ref="B29:B30"/>
    <mergeCell ref="B27:B28"/>
  </mergeCells>
  <hyperlinks>
    <hyperlink ref="C6" r:id="rId1" xr:uid="{35AF3F96-7AD3-4A52-A672-0A2E46F0DD1E}"/>
    <hyperlink ref="C8" r:id="rId2" xr:uid="{29B5665D-147A-4CEC-920D-42DFAE71E875}"/>
    <hyperlink ref="C10" r:id="rId3" xr:uid="{9BA67AE2-E0AE-4A78-B2B3-237AF31D2AD0}"/>
    <hyperlink ref="C12" r:id="rId4" xr:uid="{0FE242FB-C81E-4C65-BFFF-1047166B09F8}"/>
    <hyperlink ref="C14" r:id="rId5" xr:uid="{CCF4A40A-F74C-4764-991F-B5F86BF0C480}"/>
    <hyperlink ref="C16" r:id="rId6" xr:uid="{5D0027DA-26E4-41C2-9A98-ECF433802199}"/>
    <hyperlink ref="C18" r:id="rId7" xr:uid="{113DDE98-3CC8-4018-B9D0-A365F60564F5}"/>
    <hyperlink ref="C42" r:id="rId8" xr:uid="{3D7D9931-EF33-450E-9F21-D8DE940C563E}"/>
    <hyperlink ref="C20" r:id="rId9" xr:uid="{6A680A9A-7C1C-441B-9F5B-28F3BCB7E73F}"/>
    <hyperlink ref="C22" r:id="rId10" xr:uid="{D2544679-7105-4FF5-BFD8-ECA1DA4365ED}"/>
    <hyperlink ref="C24" r:id="rId11" xr:uid="{88AE9990-EC4D-4DB7-9E52-D7EE9E3D2F9D}"/>
    <hyperlink ref="C26" r:id="rId12" xr:uid="{EFE2AB51-D7F0-4FAF-AF8F-CA4E1B29171E}"/>
    <hyperlink ref="C28" r:id="rId13" xr:uid="{A23F91DE-19CF-49CF-9BE8-F2209007BC47}"/>
    <hyperlink ref="C30" r:id="rId14" xr:uid="{134D98F5-07D0-4A21-B718-9D471AF6507C}"/>
    <hyperlink ref="C32" r:id="rId15" xr:uid="{43FB8D79-9772-458D-B827-D1BBF13C9EAA}"/>
    <hyperlink ref="C34" r:id="rId16" xr:uid="{B874A842-1E60-4D02-AD03-1E25872365EA}"/>
    <hyperlink ref="C36" r:id="rId17" xr:uid="{615E76A6-1660-4374-89FC-6364BB569F37}"/>
    <hyperlink ref="C38" r:id="rId18" xr:uid="{BB3A079E-5929-4E87-BFEB-7AC388BAB9FE}"/>
    <hyperlink ref="C40" r:id="rId19" xr:uid="{87BAD6DB-E633-431D-BD3D-A092838D7AD0}"/>
    <hyperlink ref="C44" r:id="rId20" xr:uid="{175D0326-48F2-4C9E-9A60-FC0706BFF752}"/>
    <hyperlink ref="C46" r:id="rId21" xr:uid="{2896B34D-009E-4BE5-9FA2-CECE62D4AA33}"/>
  </hyperlinks>
  <pageMargins left="0.7" right="0.7" top="0.75" bottom="0.75" header="0.3" footer="0.3"/>
  <pageSetup paperSize="9" orientation="portrait" r:id="rId2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frequency</vt:lpstr>
      <vt:lpstr>factors patient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Shafina Ghazani Erlangga</dc:creator>
  <cp:lastModifiedBy>Shafina Ghazani Erlangga</cp:lastModifiedBy>
  <dcterms:created xsi:type="dcterms:W3CDTF">2022-09-29T13:29:21Z</dcterms:created>
  <dcterms:modified xsi:type="dcterms:W3CDTF">2026-01-07T11:44:22Z</dcterms:modified>
</cp:coreProperties>
</file>
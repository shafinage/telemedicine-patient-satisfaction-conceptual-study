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d.docs.live.net/337a78654482b06f/Desktop/portfolio/GitHub/telemedicine-patient-satisfaction-conceptual-study/data/"/>
    </mc:Choice>
  </mc:AlternateContent>
  <xr:revisionPtr revIDLastSave="163" documentId="8_{D5FC1B16-85B4-4EA8-8A83-913D38829EA2}" xr6:coauthVersionLast="47" xr6:coauthVersionMax="47" xr10:uidLastSave="{33A28DC9-931E-4BDC-9208-3391A60B3316}"/>
  <bookViews>
    <workbookView xWindow="-108" yWindow="-108" windowWidth="23256" windowHeight="12456" xr2:uid="{BCE31475-E814-4971-BF8A-B4DAABD48080}"/>
  </bookViews>
  <sheets>
    <sheet name="matrix" sheetId="1" r:id="rId1"/>
    <sheet name="frequency" sheetId="3" r:id="rId2"/>
  </sheets>
  <definedNames>
    <definedName name="_xlnm._FilterDatabase" localSheetId="1" hidden="1">frequency!$D$4:$AC$46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D5" i="3" l="1"/>
  <c r="BE5" i="3"/>
  <c r="BF5" i="3"/>
  <c r="BD6" i="3"/>
  <c r="BE6" i="3"/>
  <c r="BF6" i="3"/>
  <c r="BD7" i="3"/>
  <c r="BE7" i="3"/>
  <c r="BF7" i="3"/>
  <c r="BD8" i="3"/>
  <c r="BE8" i="3"/>
  <c r="BF8" i="3"/>
  <c r="BD9" i="3"/>
  <c r="BE9" i="3"/>
  <c r="BF9" i="3"/>
  <c r="BD10" i="3"/>
  <c r="BE10" i="3"/>
  <c r="BF10" i="3"/>
  <c r="BD11" i="3"/>
  <c r="BE11" i="3"/>
  <c r="BF11" i="3"/>
  <c r="BD12" i="3"/>
  <c r="BE12" i="3"/>
  <c r="BF12" i="3"/>
  <c r="BD13" i="3"/>
  <c r="BE13" i="3"/>
  <c r="BF13" i="3"/>
  <c r="AE20" i="3"/>
  <c r="AE21" i="3"/>
  <c r="AE22" i="3"/>
  <c r="AE23" i="3"/>
  <c r="AE24" i="3"/>
  <c r="AE25" i="3"/>
  <c r="AE26" i="3"/>
  <c r="AE27" i="3"/>
  <c r="AE19" i="3"/>
  <c r="AF20" i="3"/>
  <c r="AG20" i="3"/>
  <c r="AH20" i="3"/>
  <c r="AJ20" i="3"/>
  <c r="AK20" i="3"/>
  <c r="AM20" i="3"/>
  <c r="AN20" i="3"/>
  <c r="AP20" i="3"/>
  <c r="AQ20" i="3"/>
  <c r="AR20" i="3"/>
  <c r="AS20" i="3"/>
  <c r="AT20" i="3"/>
  <c r="AU20" i="3"/>
  <c r="AW20" i="3"/>
  <c r="AX20" i="3"/>
  <c r="AY20" i="3"/>
  <c r="AZ20" i="3"/>
  <c r="BA20" i="3"/>
  <c r="BC20" i="3"/>
  <c r="AF21" i="3"/>
  <c r="AG21" i="3"/>
  <c r="AH21" i="3"/>
  <c r="AJ21" i="3"/>
  <c r="AK21" i="3"/>
  <c r="AM21" i="3"/>
  <c r="AN21" i="3"/>
  <c r="AP21" i="3"/>
  <c r="BF21" i="3" s="1"/>
  <c r="AQ21" i="3"/>
  <c r="AR21" i="3"/>
  <c r="AS21" i="3"/>
  <c r="AT21" i="3"/>
  <c r="AU21" i="3"/>
  <c r="AW21" i="3"/>
  <c r="AX21" i="3"/>
  <c r="AY21" i="3"/>
  <c r="AZ21" i="3"/>
  <c r="BA21" i="3"/>
  <c r="BC21" i="3"/>
  <c r="AF22" i="3"/>
  <c r="AG22" i="3"/>
  <c r="AH22" i="3"/>
  <c r="AJ22" i="3"/>
  <c r="AK22" i="3"/>
  <c r="AM22" i="3"/>
  <c r="AN22" i="3"/>
  <c r="AP22" i="3"/>
  <c r="AQ22" i="3"/>
  <c r="AR22" i="3"/>
  <c r="AS22" i="3"/>
  <c r="AT22" i="3"/>
  <c r="AU22" i="3"/>
  <c r="AW22" i="3"/>
  <c r="AX22" i="3"/>
  <c r="AY22" i="3"/>
  <c r="AZ22" i="3"/>
  <c r="BA22" i="3"/>
  <c r="BC22" i="3"/>
  <c r="AF23" i="3"/>
  <c r="AG23" i="3"/>
  <c r="BF23" i="3" s="1"/>
  <c r="AH23" i="3"/>
  <c r="AJ23" i="3"/>
  <c r="AK23" i="3"/>
  <c r="AM23" i="3"/>
  <c r="AN23" i="3"/>
  <c r="AP23" i="3"/>
  <c r="AQ23" i="3"/>
  <c r="AR23" i="3"/>
  <c r="AS23" i="3"/>
  <c r="AT23" i="3"/>
  <c r="AU23" i="3"/>
  <c r="AW23" i="3"/>
  <c r="AX23" i="3"/>
  <c r="AY23" i="3"/>
  <c r="AZ23" i="3"/>
  <c r="BA23" i="3"/>
  <c r="BC23" i="3"/>
  <c r="AF24" i="3"/>
  <c r="AG24" i="3"/>
  <c r="AH24" i="3"/>
  <c r="AJ24" i="3"/>
  <c r="AK24" i="3"/>
  <c r="AM24" i="3"/>
  <c r="AN24" i="3"/>
  <c r="BE24" i="3" s="1"/>
  <c r="AP24" i="3"/>
  <c r="AQ24" i="3"/>
  <c r="AR24" i="3"/>
  <c r="AS24" i="3"/>
  <c r="AT24" i="3"/>
  <c r="AU24" i="3"/>
  <c r="AW24" i="3"/>
  <c r="AX24" i="3"/>
  <c r="AY24" i="3"/>
  <c r="AZ24" i="3"/>
  <c r="BA24" i="3"/>
  <c r="BC24" i="3"/>
  <c r="AF25" i="3"/>
  <c r="AG25" i="3"/>
  <c r="AH25" i="3"/>
  <c r="AJ25" i="3"/>
  <c r="AK25" i="3"/>
  <c r="AM25" i="3"/>
  <c r="AN25" i="3"/>
  <c r="AP25" i="3"/>
  <c r="AQ25" i="3"/>
  <c r="AR25" i="3"/>
  <c r="AS25" i="3"/>
  <c r="AT25" i="3"/>
  <c r="AU25" i="3"/>
  <c r="AW25" i="3"/>
  <c r="AX25" i="3"/>
  <c r="AY25" i="3"/>
  <c r="AZ25" i="3"/>
  <c r="BA25" i="3"/>
  <c r="BC25" i="3"/>
  <c r="AF26" i="3"/>
  <c r="AG26" i="3"/>
  <c r="AH26" i="3"/>
  <c r="AJ26" i="3"/>
  <c r="AK26" i="3"/>
  <c r="AM26" i="3"/>
  <c r="AN26" i="3"/>
  <c r="AP26" i="3"/>
  <c r="AQ26" i="3"/>
  <c r="AR26" i="3"/>
  <c r="AS26" i="3"/>
  <c r="AT26" i="3"/>
  <c r="AU26" i="3"/>
  <c r="AW26" i="3"/>
  <c r="AX26" i="3"/>
  <c r="AY26" i="3"/>
  <c r="AZ26" i="3"/>
  <c r="BA26" i="3"/>
  <c r="BC26" i="3"/>
  <c r="AF27" i="3"/>
  <c r="AG27" i="3"/>
  <c r="AH27" i="3"/>
  <c r="AJ27" i="3"/>
  <c r="AK27" i="3"/>
  <c r="AM27" i="3"/>
  <c r="AN27" i="3"/>
  <c r="AP27" i="3"/>
  <c r="AQ27" i="3"/>
  <c r="AR27" i="3"/>
  <c r="AS27" i="3"/>
  <c r="AT27" i="3"/>
  <c r="AU27" i="3"/>
  <c r="AW27" i="3"/>
  <c r="AX27" i="3"/>
  <c r="AY27" i="3"/>
  <c r="AZ27" i="3"/>
  <c r="BA27" i="3"/>
  <c r="BC27" i="3"/>
  <c r="AG19" i="3"/>
  <c r="AH19" i="3"/>
  <c r="AJ19" i="3"/>
  <c r="AK19" i="3"/>
  <c r="AM19" i="3"/>
  <c r="AN19" i="3"/>
  <c r="AP19" i="3"/>
  <c r="AQ19" i="3"/>
  <c r="AR19" i="3"/>
  <c r="AS19" i="3"/>
  <c r="AT19" i="3"/>
  <c r="AU19" i="3"/>
  <c r="AW19" i="3"/>
  <c r="AX19" i="3"/>
  <c r="AY19" i="3"/>
  <c r="AZ19" i="3"/>
  <c r="BA19" i="3"/>
  <c r="BC19" i="3"/>
  <c r="AF19" i="3"/>
  <c r="BE21" i="3"/>
  <c r="BD21" i="3"/>
  <c r="AC6" i="3"/>
  <c r="AC44" i="3"/>
  <c r="AC43" i="3"/>
  <c r="AC42" i="3"/>
  <c r="AC41" i="3"/>
  <c r="AC40" i="3"/>
  <c r="AC39" i="3"/>
  <c r="AC38" i="3"/>
  <c r="AC37" i="3"/>
  <c r="AC36" i="3"/>
  <c r="AC35" i="3"/>
  <c r="AC34" i="3"/>
  <c r="AC33" i="3"/>
  <c r="AC32" i="3"/>
  <c r="AC31" i="3"/>
  <c r="AC30" i="3"/>
  <c r="AC29" i="3"/>
  <c r="AC28" i="3"/>
  <c r="AC27" i="3"/>
  <c r="AC26" i="3"/>
  <c r="AC23" i="3"/>
  <c r="AC25" i="3"/>
  <c r="AC24" i="3"/>
  <c r="AC22" i="3"/>
  <c r="AC21" i="3"/>
  <c r="AC16" i="3"/>
  <c r="AC20" i="3"/>
  <c r="AC19" i="3"/>
  <c r="AC15" i="3"/>
  <c r="AC14" i="3"/>
  <c r="AC18" i="3"/>
  <c r="AC17" i="3"/>
  <c r="AC13" i="3"/>
  <c r="AC12" i="3"/>
  <c r="AC11" i="3"/>
  <c r="AC10" i="3"/>
  <c r="AC9" i="3"/>
  <c r="AC8" i="3"/>
  <c r="AC7" i="3"/>
  <c r="AC5" i="3"/>
  <c r="BF24" i="3" l="1"/>
  <c r="BD23" i="3"/>
  <c r="BE23" i="3"/>
  <c r="BD24" i="3"/>
  <c r="BF26" i="3"/>
  <c r="BE27" i="3"/>
  <c r="BD25" i="3"/>
  <c r="BF27" i="3"/>
  <c r="BE20" i="3"/>
  <c r="BD20" i="3"/>
  <c r="BF20" i="3"/>
  <c r="BD27" i="3"/>
  <c r="BF25" i="3"/>
  <c r="BE26" i="3"/>
  <c r="BE25" i="3"/>
  <c r="BD26" i="3"/>
</calcChain>
</file>

<file path=xl/sharedStrings.xml><?xml version="1.0" encoding="utf-8"?>
<sst xmlns="http://schemas.openxmlformats.org/spreadsheetml/2006/main" count="743" uniqueCount="301">
  <si>
    <t>No.</t>
  </si>
  <si>
    <t>Name of Author</t>
  </si>
  <si>
    <t>Title of Publication</t>
  </si>
  <si>
    <t>Objective</t>
  </si>
  <si>
    <t>Variables</t>
  </si>
  <si>
    <t>Methodology</t>
  </si>
  <si>
    <t>Data Analysis</t>
  </si>
  <si>
    <t>Dependent</t>
  </si>
  <si>
    <t>Independent</t>
  </si>
  <si>
    <t>Moderating</t>
  </si>
  <si>
    <t>Mediating</t>
  </si>
  <si>
    <r>
      <rPr>
        <sz val="11"/>
        <rFont val="Calibri"/>
        <family val="2"/>
        <scheme val="minor"/>
      </rPr>
      <t>Factors Affecting Patients' Acceptance of and Satisfaction with Cloud-Based Telehealth for Chronic Disease Management: A Case Study in the Workplace</t>
    </r>
    <r>
      <rPr>
        <sz val="11"/>
        <color theme="1"/>
        <rFont val="Calibri"/>
        <family val="2"/>
        <scheme val="minor"/>
      </rPr>
      <t xml:space="preserve"> </t>
    </r>
  </si>
  <si>
    <t xml:space="preserve">Attitude as Main Mediating Factor Towards Acceptance of Telemedicine in Improved TAM Model </t>
  </si>
  <si>
    <t>file:///C:/Users/shafi/OneDrive/Desktop/2021_EllyLee_ELLYLEE-MP-2021.pdf</t>
  </si>
  <si>
    <t xml:space="preserve">Factors Affecting Patient Perceptions and Satisfaction with Telemedicine in Outpatient Clinics </t>
  </si>
  <si>
    <t>https://www.ncbi.nlm.nih.gov/pmc/articles/PMC8673882/</t>
  </si>
  <si>
    <t xml:space="preserve">Assessment of Patient Preferences for Telehealth in Post–COVID-19 Pandemic Health Care </t>
  </si>
  <si>
    <t>https://jamanetwork.com/journals/jamanetworkopen/fullarticle/2786700</t>
  </si>
  <si>
    <t xml:space="preserve">Assessing the Availability of Teleconsultation and the Extent of Its Use in Malaysian Public Primary Care Clinics: Cross-sectional Study </t>
  </si>
  <si>
    <t>https://formative.jmir.org/2022/5/e34485</t>
  </si>
  <si>
    <t xml:space="preserve">Patient Perceptions of Telehealth Primary Care Video Visits </t>
  </si>
  <si>
    <t xml:space="preserve">Attitudes and perceptions of outpatients towards adoption of telemedicine in healthcare during COVID-19 pandemic </t>
  </si>
  <si>
    <t xml:space="preserve">Patient Satisfaction with Telemedicine during the COVID-19 Pandemic—A Systematic Review </t>
  </si>
  <si>
    <t>Conclusion</t>
  </si>
  <si>
    <t>Limitation</t>
  </si>
  <si>
    <t>Impact of Telemedicine on Patient Satisfaction and Perceptions of Care Quality in Radiation Oncology</t>
  </si>
  <si>
    <t>Patient and Clinician Experiences With Telehealth for Patient Follow-up Care</t>
  </si>
  <si>
    <t>Telehealth Visits After Shoulder Surgery: Higher Patient Satisfaction and Lower Costs</t>
  </si>
  <si>
    <t>determine demographic characteristic and feedback of patients attended teleconsultation</t>
  </si>
  <si>
    <t>Recommendation/Future Research</t>
  </si>
  <si>
    <t>determine the availability and the extent of teleconsultation in Malaysian primary care clinics</t>
  </si>
  <si>
    <t>telephone consultation is more widely used than video consultation, despite a quarter of its funding being self-subsidized or obtained through donations, teleconsultation was less utilized by allied health care providers and pharmacists</t>
  </si>
  <si>
    <t>Yung-Yu Su; Su-Tsai Huang;, Ying-Hsun Wu; Chun-Min Chen</t>
  </si>
  <si>
    <t>https://www.ncbi.nlm.nih.gov/pmc/articles/PMC7159983/</t>
  </si>
  <si>
    <t>Understanding patients' acceptance of and satisfaction with telehealth use is important for workplace health promotion</t>
  </si>
  <si>
    <t>Education and empowerment,
Support team, Flexibility, mHealth the choice, 
Physician endorsement</t>
  </si>
  <si>
    <t>patients' preference</t>
  </si>
  <si>
    <t>patients’ satisfaction</t>
  </si>
  <si>
    <t xml:space="preserve"> satisfaction with cloud-based telehealth services in the workplace</t>
  </si>
  <si>
    <t>quantitative</t>
  </si>
  <si>
    <t>SA Abdulwahab; HS Zedan</t>
  </si>
  <si>
    <t>understand factors affecting patient perceptions and satisfaction with telemedicine services</t>
  </si>
  <si>
    <t>descriptive</t>
  </si>
  <si>
    <t>satisfaction</t>
  </si>
  <si>
    <t>Those with stable internet connection had significantly higher satisfaction rates, significantly higher in Cardiology and Orthopaedic clinics</t>
  </si>
  <si>
    <t>Larger multi-center studies examining other factors affecting patients’ satisfaction</t>
  </si>
  <si>
    <t>Zachary S. Predmore, PhD; Elizabeth Roth, MA; Joshua Breslau, PhD, ScD</t>
  </si>
  <si>
    <t>ascertain patient preferences for video visits after the ongoing COVID-19 public health emergency and to identify patient perceptions of the value of video visits and the role of out-of-pocket cost in changing patient preference for each visit modality</t>
  </si>
  <si>
    <t>participants were generally willing to use video visits but preferred in-person care, and those who preferred video visits were more sensitive to paying out-of-pocket cost</t>
  </si>
  <si>
    <t>preference</t>
  </si>
  <si>
    <t>unable to conduct a full willingness-to-pay analysis; Respondents may be unfamiliar with making choices between hypothetical options; limited in what demographic data were available from the American Life Panel; respondents may have certain health conditions that make video visits more or less feasible</t>
  </si>
  <si>
    <t>describe patient experiences with video visits performed with their established primary care clinicians</t>
  </si>
  <si>
    <t>explore which patients and conditions are best suited for video visits.</t>
  </si>
  <si>
    <t xml:space="preserve"> understand the behavioral attitude and perceptions of the population regarding telemedicine and, in doing so, make services more user-friendly for patients</t>
  </si>
  <si>
    <t>less representation from the elderly population; Responses in the study were from people who could answer the survey online and those with access to the internet and well versed with technology</t>
  </si>
  <si>
    <t>Bhuva, Sheena MD; Lankford, Craig MD; Patel, Nayan MD; Haddas, Ram PhD</t>
  </si>
  <si>
    <t>appointment type,Follow-up procedure,technical problems</t>
  </si>
  <si>
    <t>small sample size and a sampling bias, no comparison group was available</t>
  </si>
  <si>
    <t>physical medicine and rehabilitation physicians to continue expanding patient access in the postpandemic world, stratification of telemedicine in comparison to the traditional face-to-face visit</t>
  </si>
  <si>
    <t>Telemedicine is undoubtedly a convenient tool that has helped maintain continuity of medical care during the COVID-19 pandemic thanks to its considerable potential. In particular situations, telehealth may adequately replace face-to-face consultation</t>
  </si>
  <si>
    <t>examine correlates of patients' satisfaction with a telemedicine visit.</t>
  </si>
  <si>
    <t>patient satisfaction</t>
  </si>
  <si>
    <t>further research into visit-related factors and the patient-provider connection over telemedicine is needed</t>
  </si>
  <si>
    <t>no comparison to in-person visit satisfaction during the same period or before the pandemic,bias toward respondents with higher digital literacy.study population was less ethnically and racially diverse,respondents were significantly older than our nonresponders</t>
  </si>
  <si>
    <t>Aashima, Mehak Nanda, and Rajesh Sharma</t>
  </si>
  <si>
    <t xml:space="preserve"> reviews the studies examining patients' perspective toward telemedicine and their preference for virtual health care services</t>
  </si>
  <si>
    <t>literarure review</t>
  </si>
  <si>
    <t xml:space="preserve"> (1) to compare the cost of telemedicine visits with in-person clinic visits after common shoulder surgeries, (2) to measure the safety, and (3) to evaluate patient experience with telemedicine visits.</t>
  </si>
  <si>
    <t>cross-sectional study</t>
  </si>
  <si>
    <t>biases may persist between the in-person and virtual visit practices,not analyze the time for routine imaging postoperatively, thus may not be generalizable for all routine follow-up care,cost rates used to tabulate patient-specific costing were derived from publicly available national wage averages and not directly from employee data,no comparative analysis offered for patient satisfaction or perceived safety for in-person visits because in-person visits were thought to be the benchmark for care.</t>
  </si>
  <si>
    <t>satisfaction, preference</t>
  </si>
  <si>
    <t>selection bias, populations are not equivalent</t>
  </si>
  <si>
    <t>Karen Donelan, ScD, EdM, Esteban A. Barreto, MA, Sarah Sossong, MPH, Carie Michael, SM, Juan J. Estrada, MSc, MBA, Adam B. Cohen, MD, Janet Wozniak, MD, Lee H. Schwamm, MD</t>
  </si>
  <si>
    <t>Understanding the perceived value of different modes of care</t>
  </si>
  <si>
    <t xml:space="preserve"> participants selected by their clinicians based on their suitability, as determined during prior office visits as established patients; do not fully reflect the challenges or opportunities of using VVVs in primary care settings</t>
  </si>
  <si>
    <t>patients and clinicians expeience</t>
  </si>
  <si>
    <t>intention of use</t>
  </si>
  <si>
    <t>Sampling</t>
  </si>
  <si>
    <t>quota sampling</t>
  </si>
  <si>
    <t xml:space="preserve"> satisfaction</t>
  </si>
  <si>
    <t>usefulness, ease of use and learnability, interface quality, interaction quality, reliability, demographic characteristics,</t>
  </si>
  <si>
    <t>concerns over their privacy and confidentiality, education, inconsistency of service quality, poor communication, cost of diagnositc devices</t>
  </si>
  <si>
    <t>questionnaires, focus group interview, surveys, interviews</t>
  </si>
  <si>
    <t>cross-sectional survey, TUQ via Whatsapp with 7-point Likert scale</t>
  </si>
  <si>
    <t>purposive sampling; chronic disease; metabolic syndrome and diabetes</t>
  </si>
  <si>
    <t>subjetive norm, image, job, output quality, result demonstrability</t>
  </si>
  <si>
    <t>usage behaviour, intention of use</t>
  </si>
  <si>
    <t>cross-sectional, revised TAM2</t>
  </si>
  <si>
    <t>Perceived ease of use, Perceived usefulness, experince,</t>
  </si>
  <si>
    <t xml:space="preserve">user satisfaction can be predicted by examining UB, because it indicates that the participants who actually repeatedly use the telehealth system find it to be effective. Because the behavior of patients can be affected by their intentions, to effectively predict user satisfaction, one needs to consider not only the actual use but also the underlying intent of each user with respect to their experiences. </t>
  </si>
  <si>
    <t>small sample, with participants selected from two technology companies and without a control group from the community or hospital</t>
  </si>
  <si>
    <t>collect physiological data at different time periods and evaluate the results by conducting repeated-measure analyses or control-group selection to verify the effects of this care on chronic disease management. Moreover, further studies could evaluate whether such a system is successful at promoting self-management in patients with chronic diseases</t>
  </si>
  <si>
    <t>Elly Lee</t>
  </si>
  <si>
    <t>investigate the relationship between factors percieved usefulness, percieved ease of use, and attitude towards the intention to use telemedicine</t>
  </si>
  <si>
    <t>attitude</t>
  </si>
  <si>
    <t>quantitative, TAM</t>
  </si>
  <si>
    <t>random sampling</t>
  </si>
  <si>
    <t>startified random sampling</t>
  </si>
  <si>
    <t>percieved usefulness, percieved ease of use, patient-physician relationship</t>
  </si>
  <si>
    <t>only one type of study population because this hospital was the only one that has the telemedcine service</t>
  </si>
  <si>
    <t>collect data from more hospitals to identify more accurate feedback in the attitude and behavorial intention of telemedicine. In-depth research on which forms of attitude would influence the behavorial intention</t>
  </si>
  <si>
    <t>attitufe plays an mportant role in the determinant of acceptance of the telemedical serevices</t>
  </si>
  <si>
    <t>cross-sectional, modified TSQ + PSQ-18</t>
  </si>
  <si>
    <t>quality of care, similarity to face-to-face encounters, perception of the interaction</t>
  </si>
  <si>
    <t>235 respondents</t>
  </si>
  <si>
    <t xml:space="preserve"> type of medical specialty, internet stability, type of telemedicine,gender</t>
  </si>
  <si>
    <t>relatively small sample, only carried out in 1 healthcare facility</t>
  </si>
  <si>
    <t>210 repondents</t>
  </si>
  <si>
    <t>103 respondents</t>
  </si>
  <si>
    <t>20 articles</t>
  </si>
  <si>
    <t>150 respondents</t>
  </si>
  <si>
    <t>2080 respondent</t>
  </si>
  <si>
    <t>quota sampling,  generated through a raking process using the demographic data of participants (sex, age, race and ethnicity, educational level, household income, and number of household members)</t>
  </si>
  <si>
    <t>quantitative, survey</t>
  </si>
  <si>
    <t>age, family income, race, Education level,</t>
  </si>
  <si>
    <t>Although improving the delivery of telehealth is important, it is only part of the story. Awareness of patient preferences will help to identify telehealth’s role in postpandemic health care delivery.</t>
  </si>
  <si>
    <t>availability of the service, types of services</t>
  </si>
  <si>
    <t>249 clinics</t>
  </si>
  <si>
    <t>internet access,area</t>
  </si>
  <si>
    <t>funding,cost</t>
  </si>
  <si>
    <t>19 participants</t>
  </si>
  <si>
    <t>descriptive, conventional content analysis</t>
  </si>
  <si>
    <t>technical aspect, convenience, wait time,personal feel,privacy,</t>
  </si>
  <si>
    <t>perceptions of patients, behavorial attitude</t>
  </si>
  <si>
    <t>1170 respondents</t>
  </si>
  <si>
    <t>more work needs to be done for telemedicine reimbursements and claims to be made more straightforward and accessible</t>
  </si>
  <si>
    <t>Katharine Shepherd West</t>
  </si>
  <si>
    <t>learn about perceptions of adult patients in an urban setting when telehealth
options are available</t>
  </si>
  <si>
    <t>21 patients</t>
  </si>
  <si>
    <t>grounded theory methodology</t>
  </si>
  <si>
    <t>perception</t>
  </si>
  <si>
    <t>urgency,knowledge</t>
  </si>
  <si>
    <t xml:space="preserve"> identify how periodic educational reinforcement impacts both patient usage and staff support of telehealth. t address
how the consumer brand experience from marketing applies to telehealth</t>
  </si>
  <si>
    <t xml:space="preserve"> Distance , physician contribution, technical problems</t>
  </si>
  <si>
    <t>satisfaction,  preference</t>
  </si>
  <si>
    <t xml:space="preserve">effectiveness of this modality and patient satisfaction with telemedicine </t>
  </si>
  <si>
    <t xml:space="preserve"> usability,Patient Clinical Needs;  Technical Aspects, Time Save,cost save,  missed appontment rate</t>
  </si>
  <si>
    <t>368 respondents</t>
  </si>
  <si>
    <t>25 articles</t>
  </si>
  <si>
    <t>patients' satisfaction, preferemce</t>
  </si>
  <si>
    <t>addressing patients' concerns, communication with  providers, usefulness, and reliability, technical challanges</t>
  </si>
  <si>
    <t>experience of providers is an equally important metric and can be an area of future research</t>
  </si>
  <si>
    <t>qualitative, TDABC methodology</t>
  </si>
  <si>
    <t>experience, satisfaction</t>
  </si>
  <si>
    <t>the application of this technology in relation of physical examination and diagnostics.</t>
  </si>
  <si>
    <t>postpandemic studies assessing telemedicine perceptions will be necessary to confirm our findings. Additionally, studies focusing on diverse patient populations and qualitative data less prone to the ceiling effect are necessary.</t>
  </si>
  <si>
    <t>quantitaive, questionnaire</t>
  </si>
  <si>
    <t>1077 patients</t>
  </si>
  <si>
    <t>254 patients,61 physicians</t>
  </si>
  <si>
    <t>willingness to pay for virtual visit,</t>
  </si>
  <si>
    <t>quantitative, questionnaires</t>
  </si>
  <si>
    <t>x</t>
  </si>
  <si>
    <t>accessibility</t>
  </si>
  <si>
    <t>convenience</t>
  </si>
  <si>
    <t>service quality</t>
  </si>
  <si>
    <t>patient preference</t>
  </si>
  <si>
    <t>technical aspect</t>
  </si>
  <si>
    <t>A17</t>
  </si>
  <si>
    <t>A16</t>
  </si>
  <si>
    <t>A15</t>
  </si>
  <si>
    <t>A14</t>
  </si>
  <si>
    <t>A13</t>
  </si>
  <si>
    <t>A12</t>
  </si>
  <si>
    <t>A11</t>
  </si>
  <si>
    <t>A10</t>
  </si>
  <si>
    <t>A9</t>
  </si>
  <si>
    <t>A8</t>
  </si>
  <si>
    <t>A7</t>
  </si>
  <si>
    <t>A6</t>
  </si>
  <si>
    <t>A5</t>
  </si>
  <si>
    <t>A4</t>
  </si>
  <si>
    <t>A3</t>
  </si>
  <si>
    <t>A2</t>
  </si>
  <si>
    <t>A1</t>
  </si>
  <si>
    <t>check again</t>
  </si>
  <si>
    <t>sum</t>
  </si>
  <si>
    <t>consecutive sampling</t>
  </si>
  <si>
    <t>convenience, time saved, availability, technical difficulties,personal feel</t>
  </si>
  <si>
    <t>Patient Perceptions and Preferences Regarding Telemedicine for Autoimmune Rheumatic Diseases Care During the COVID-19 Pandemic</t>
  </si>
  <si>
    <t>assess the perceptions and preferences of telemedicine among patients with autoimmune rheumatic diseases during the COVID-19 pandemic.</t>
  </si>
  <si>
    <t>720 patients</t>
  </si>
  <si>
    <t>819 on both patienets who in- and experienced telemedicine</t>
  </si>
  <si>
    <t>during the COVID-19 pandemic, patients with autoimmune rheumatic diseases that were members of an online patient community frequently had telemedicine visits, with the majority held via video, and were satisfied with these visits. Patient preference for telemedicine versus in-office visits depended on the reasons for a visit, past experiences with telemedicine, and attitudes about different types of telemedicine visits.</t>
  </si>
  <si>
    <t>satisfaction, perception,experience</t>
  </si>
  <si>
    <t>Evaluating patient perceptions of quality of care through telemedicine during the COVID-19 pandemic</t>
  </si>
  <si>
    <t>426 patients</t>
  </si>
  <si>
    <t>Improving access to marginalized communities should be addressed in conjunction with improving convenience and privacy for patients and developing billing, workflow integration, and electronic health record interoperability for physicians.</t>
  </si>
  <si>
    <t>tehcnical aspect, convenience, efficiency, safety, time,service quality</t>
  </si>
  <si>
    <t>Jack Allen</t>
  </si>
  <si>
    <t xml:space="preserve">explore  the  perceptions  and  experiences  of  adults  who  have  used  telemedicine  consultations  in  primary  care.  </t>
  </si>
  <si>
    <t>potential  benefits,  potential  barriers,  and  beneficial  prerequisites  for  telemedicine consultations  in  primary  care</t>
  </si>
  <si>
    <t>10 articles</t>
  </si>
  <si>
    <t>significant proportion of patients in these remote locations could be productively managed with some advice and guidance from specialists and super-specialists in the cities and towns with the help of telemedicine.</t>
  </si>
  <si>
    <t xml:space="preserve">four main recommendations for practice can be made that are: to utilize continuity of care, offer both video and telephone consultations, provide adequate support, and that healthcare professionals should demonstrate an explicit understanding of the patient’s health issues. </t>
  </si>
  <si>
    <t xml:space="preserve">exploring patient perceptions and experiences of telemedicine consultations in primary care led to the identification of key benefits of telemedicine consultations that need to  be promoted and protected, barriers that  should be addressed for successful long-term implementation, and beneficial prerequisites for a better patient experience
</t>
  </si>
  <si>
    <t>evaluate the effects of telemedicine on patients and medical specialists.</t>
  </si>
  <si>
    <t>Patients’ Perception of Telemedicine in a Large Urban Inner-City Emergency Department: A Cross-Sectional Survey</t>
  </si>
  <si>
    <t>https://www.ncbi.nlm.nih.gov/pmc/articles/PMC7681748/</t>
  </si>
  <si>
    <t>wilingness to try telemedicine</t>
  </si>
  <si>
    <t xml:space="preserve"> limited generalizability for higher socioeconomic demographics and those with private insurance. </t>
  </si>
  <si>
    <t>technological aspect,internet,time,convenience</t>
  </si>
  <si>
    <t xml:space="preserve"> lower satisfaction was associated with telehealth among older patients with lower socioeconomic status and among patients identifying as Black, Hispanic, and Native American. Drawbacks to telehealth included care quality concerns because of limited physical examination and laboratory tests and loss of social connection, while benefits included convenience, greater care partner engagement, and clinicians’ understanding of patients’ home environment</t>
  </si>
  <si>
    <t>identify patient, care partner, and nephrologists’ perceptions of the patient-centeredness, benefits, drawbacks of telehealth compared to in-person visits.</t>
  </si>
  <si>
    <t xml:space="preserve">qualitative, semistructured interviews </t>
  </si>
  <si>
    <t>60 participants (19 clinicians, 30 patients, and 11 care partners)</t>
  </si>
  <si>
    <t>further examining the impact of perceived and experienced discrimination is important, as patients of color in our sample consistently expressed dissatisfaction and mistrust associated with telehealth encounters</t>
  </si>
  <si>
    <t>A18</t>
  </si>
  <si>
    <t>A19</t>
  </si>
  <si>
    <t>A20</t>
  </si>
  <si>
    <t>A21</t>
  </si>
  <si>
    <t>A22</t>
  </si>
  <si>
    <t>A23</t>
  </si>
  <si>
    <t>A24</t>
  </si>
  <si>
    <t>Year</t>
  </si>
  <si>
    <t>descriptive, path analysis SPSS</t>
  </si>
  <si>
    <t>descriptive, SPSS, for categorical variables using counts and percentages, as no numerical variables were included in the dataset. Chi-square testing was use for comparison of categorical variables</t>
  </si>
  <si>
    <t>descriptive, SAS/STAT software,  descriptive statistics (counts, means, SEs) and cross-tabulated frequencies and percentages. We used Rao-Scott χ2 tests for bivariate comparisons of in-person or video visit preferences by demographic variables (sex, age, race and ethnicity, educational level, family income, urbanicity, and previous use of video visits) and for adjusted logistic regression analyses of binary outcomes of telehealth preferences after the COVID-19 pandemic by demographic variables (sex, age, race and ethnicity, educational level, family income, urbanicity, and previous use of video visits). Missing data were limited (&lt;1% of all variables) and likely random; entries with missing values were dropped from the adjusted analyses.</t>
  </si>
  <si>
    <t>Descriptive, Rstudio, continuous variables presented as the mean, median, SD, or IQR, while categorical variables were presented as frequencies and percentages</t>
  </si>
  <si>
    <t>purposive sampling</t>
  </si>
  <si>
    <t>qualitative, semistructured, in-depth interviews</t>
  </si>
  <si>
    <t>cluster sampling, all MOH public clinics categorized as Types I, II, and III</t>
  </si>
  <si>
    <t>snowball sampling,</t>
  </si>
  <si>
    <t>quantitative, cross sectional study,  web-based survey on general population</t>
  </si>
  <si>
    <t>convenbience sampling</t>
  </si>
  <si>
    <t xml:space="preserve"> descriptive, SPSS; using frequency (percent) for categorical variables and mean (standard deviation) for continuous variables.</t>
  </si>
  <si>
    <t>prospective cohort, survey questionnaires</t>
  </si>
  <si>
    <t>literarture review</t>
  </si>
  <si>
    <t>quantitative, retrospective observational study, survey, Trust in Physician Scale</t>
  </si>
  <si>
    <t>descriptive, Chi square analysis compared the distribution of procedure type. Average cost and duration of virtual visits and in-person visits were compared with the Student two-tailed t-test.</t>
  </si>
  <si>
    <t>random/stratified sampling,</t>
  </si>
  <si>
    <t>descriptive, SPSS, subgroup comparisons within patient and clinician populations use χ2 or t test comparisons as indicated, and analyses comparing patient and clinician responses utilize 2-sample t tests of the difference in proportions</t>
  </si>
  <si>
    <t>quantitative,cross se3ctional, TMPQ</t>
  </si>
  <si>
    <t>single-centre propective study, mix, online survey</t>
  </si>
  <si>
    <t>descriptive and non parametric, Satisfaction parameters were averaged and subjected to Wilcoxon signed-rank testing between the telemedicine and in-person cohorts</t>
  </si>
  <si>
    <t>cross sectional, questionnairs</t>
  </si>
  <si>
    <t>cross sectional, prospective, questionnaires</t>
  </si>
  <si>
    <t>Nvivo,  Iterative deliberation produced a consensus about coding discrepancies and emergent codes.30 The team refined the codebook and independently recoded the original 10 interviews and 6 additional transcripts. Codes were clarified and organized into categories through a consensus process to encompass the range and variability of subthemes and to characterize confirmatory and contradictory narratives. Following thematic analysis, researchers further analyzed commonalities and differences in opinions and experiences of telehealth by patient self-reported race and ethnicity.</t>
  </si>
  <si>
    <t>personal feel</t>
  </si>
  <si>
    <t>internet,interface,visual,audio</t>
  </si>
  <si>
    <t>d</t>
  </si>
  <si>
    <t>mo</t>
  </si>
  <si>
    <t>i</t>
  </si>
  <si>
    <t>me</t>
  </si>
  <si>
    <t>time,cost</t>
  </si>
  <si>
    <t xml:space="preserve">type of cilinical need. </t>
  </si>
  <si>
    <t>Technical aspect</t>
  </si>
  <si>
    <t>quality of care.  lack of formality, personal feel, age, language,</t>
  </si>
  <si>
    <t>Technical challanges, convenience,</t>
  </si>
  <si>
    <t>Mo</t>
  </si>
  <si>
    <t>Me</t>
  </si>
  <si>
    <t>I</t>
  </si>
  <si>
    <t>similarity to f2f interaction</t>
  </si>
  <si>
    <t>Patient Satisfaction</t>
  </si>
  <si>
    <t>Convenience</t>
  </si>
  <si>
    <t>Technical Aspect</t>
  </si>
  <si>
    <t>Patient Preference</t>
  </si>
  <si>
    <t>Service Quality</t>
  </si>
  <si>
    <t>Accessibility</t>
  </si>
  <si>
    <t>Similarity to f2f Interaction</t>
  </si>
  <si>
    <t>Intention of Use</t>
  </si>
  <si>
    <t>Interaction Quality</t>
  </si>
  <si>
    <t>Privacy Concern</t>
  </si>
  <si>
    <t>Scheduling</t>
  </si>
  <si>
    <t>Reliability</t>
  </si>
  <si>
    <t>Ease of Use</t>
  </si>
  <si>
    <t>Patient-Physician Relationship</t>
  </si>
  <si>
    <t>Type of Telemedicine</t>
  </si>
  <si>
    <t>Internet Connection</t>
  </si>
  <si>
    <t>Education on Technology</t>
  </si>
  <si>
    <t>Safety</t>
  </si>
  <si>
    <t>Attitude</t>
  </si>
  <si>
    <t>Availability</t>
  </si>
  <si>
    <t>Efficiency</t>
  </si>
  <si>
    <t>Usability</t>
  </si>
  <si>
    <t>Interface Quality</t>
  </si>
  <si>
    <t>Confidentiality Concern</t>
  </si>
  <si>
    <t>Device Cost</t>
  </si>
  <si>
    <t>Communication bw. Staff</t>
  </si>
  <si>
    <t>Flexibility</t>
  </si>
  <si>
    <t>Job</t>
  </si>
  <si>
    <t>Usage Behaviour</t>
  </si>
  <si>
    <t>Gender</t>
  </si>
  <si>
    <t>Age</t>
  </si>
  <si>
    <t>Income</t>
  </si>
  <si>
    <t>Race</t>
  </si>
  <si>
    <t>Education Level</t>
  </si>
  <si>
    <t>Ease of Med. Report Transfer</t>
  </si>
  <si>
    <t>Urgency</t>
  </si>
  <si>
    <t>Physician Contribution</t>
  </si>
  <si>
    <t>Missed Appointment Rate</t>
  </si>
  <si>
    <t>Logistics</t>
  </si>
  <si>
    <t>Perceived Usefulness</t>
  </si>
  <si>
    <t>perceived usefulness</t>
  </si>
  <si>
    <t xml:space="preserve">willingness to use, cost. </t>
  </si>
  <si>
    <t>D</t>
  </si>
  <si>
    <t/>
  </si>
  <si>
    <t>Similarity To F2F Interaction</t>
  </si>
  <si>
    <t>Convenience facility;scheduling an appointment; immediate response from a specialist,approachable and useful,economical,qualitative care, ease of med report transfer, wait time, offered treatment</t>
  </si>
  <si>
    <t>care provided,types of care</t>
  </si>
  <si>
    <t>distance</t>
  </si>
  <si>
    <t>technical aspect, service quality, cost,convenience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</si>
</sst>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name val="Calibri"/>
      <family val="2"/>
      <scheme val="minor"/>
    </font>
    <font>
      <u/>
      <sz val="11"/>
      <color theme="10"/>
      <name val="Calibri"/>
      <family val="2"/>
      <scheme val="minor"/>
    </font>
    <font>
      <sz val="8"/>
      <name val="Calibri"/>
      <family val="2"/>
      <scheme val="minor"/>
    </font>
    <font>
      <sz val="11"/>
      <color rgb="FFFF0000"/>
      <name val="Calibri"/>
      <family val="2"/>
      <scheme val="minor"/>
    </font>
    <font>
      <sz val="11"/>
      <color theme="5" tint="0.79998168889431442"/>
      <name val="Calibri"/>
      <family val="2"/>
      <scheme val="minor"/>
    </font>
    <font>
      <sz val="10"/>
      <color theme="1"/>
      <name val="Calibri"/>
      <family val="2"/>
      <scheme val="minor"/>
    </font>
    <font>
      <sz val="9"/>
      <color theme="1"/>
      <name val="Calibri"/>
      <family val="2"/>
      <scheme val="minor"/>
    </font>
    <font>
      <b/>
      <sz val="15"/>
      <color theme="3"/>
      <name val="Calibri"/>
      <family val="2"/>
      <scheme val="minor"/>
    </font>
  </fonts>
  <fills count="9">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theme="7"/>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C000"/>
        <bgColor indexed="64"/>
      </patternFill>
    </fill>
  </fills>
  <borders count="13">
    <border>
      <left/>
      <right/>
      <top/>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ck">
        <color theme="4"/>
      </bottom>
      <diagonal/>
    </border>
  </borders>
  <cellStyleXfs count="3">
    <xf numFmtId="0" fontId="0" fillId="0" borderId="0"/>
    <xf numFmtId="0" fontId="2" fillId="0" borderId="0" applyNumberFormat="0" applyFill="0" applyBorder="0" applyAlignment="0" applyProtection="0"/>
    <xf numFmtId="0" fontId="8" fillId="0" borderId="12" applyNumberFormat="0" applyFill="0" applyAlignment="0" applyProtection="0"/>
  </cellStyleXfs>
  <cellXfs count="80">
    <xf numFmtId="0" fontId="0" fillId="0" borderId="0" xfId="0"/>
    <xf numFmtId="0" fontId="0" fillId="0" borderId="0" xfId="0" applyAlignment="1">
      <alignment wrapText="1"/>
    </xf>
    <xf numFmtId="0" fontId="0" fillId="0" borderId="0" xfId="0" applyAlignment="1">
      <alignment horizontal="center" vertical="center"/>
    </xf>
    <xf numFmtId="0" fontId="0" fillId="0" borderId="0" xfId="0" applyAlignment="1">
      <alignment vertical="top" wrapText="1"/>
    </xf>
    <xf numFmtId="0" fontId="2" fillId="0" borderId="0" xfId="1" applyAlignment="1">
      <alignment vertical="top" wrapText="1"/>
    </xf>
    <xf numFmtId="0" fontId="0" fillId="0" borderId="0" xfId="0" applyAlignment="1">
      <alignment vertical="top"/>
    </xf>
    <xf numFmtId="0" fontId="0" fillId="0" borderId="2" xfId="0" applyBorder="1"/>
    <xf numFmtId="0" fontId="2" fillId="0" borderId="0" xfId="1"/>
    <xf numFmtId="0" fontId="0" fillId="0" borderId="0" xfId="0" applyAlignment="1">
      <alignment horizontal="left" vertical="top" wrapText="1"/>
    </xf>
    <xf numFmtId="0" fontId="0" fillId="0" borderId="1" xfId="0" applyBorder="1" applyAlignment="1">
      <alignment horizontal="center" vertical="center"/>
    </xf>
    <xf numFmtId="0" fontId="0" fillId="0" borderId="0" xfId="0" applyAlignment="1">
      <alignment horizontal="center"/>
    </xf>
    <xf numFmtId="0" fontId="0" fillId="0" borderId="1" xfId="0" applyBorder="1" applyAlignment="1">
      <alignment horizontal="center"/>
    </xf>
    <xf numFmtId="0" fontId="0" fillId="0" borderId="4" xfId="0" applyBorder="1" applyAlignment="1">
      <alignment horizontal="center" vertical="center"/>
    </xf>
    <xf numFmtId="0" fontId="0" fillId="0" borderId="7" xfId="0" applyBorder="1"/>
    <xf numFmtId="0" fontId="0" fillId="3" borderId="8" xfId="0" applyFill="1" applyBorder="1"/>
    <xf numFmtId="0" fontId="0" fillId="0" borderId="8" xfId="0" applyBorder="1"/>
    <xf numFmtId="0" fontId="0" fillId="0" borderId="9" xfId="0" applyBorder="1"/>
    <xf numFmtId="0" fontId="0" fillId="0" borderId="7" xfId="0" applyBorder="1" applyAlignment="1">
      <alignment horizontal="center" vertical="center"/>
    </xf>
    <xf numFmtId="0" fontId="0" fillId="4" borderId="8" xfId="0" applyFill="1" applyBorder="1"/>
    <xf numFmtId="0" fontId="0" fillId="5" borderId="4" xfId="0" applyFill="1" applyBorder="1" applyAlignment="1">
      <alignment horizontal="center" vertical="center"/>
    </xf>
    <xf numFmtId="0" fontId="0" fillId="5" borderId="0" xfId="0" applyFill="1" applyAlignment="1">
      <alignment horizontal="center" vertical="center"/>
    </xf>
    <xf numFmtId="0" fontId="0" fillId="3" borderId="10" xfId="0" applyFill="1" applyBorder="1"/>
    <xf numFmtId="0" fontId="0" fillId="4" borderId="10" xfId="0" applyFill="1" applyBorder="1"/>
    <xf numFmtId="0" fontId="0" fillId="4" borderId="0" xfId="0" applyFill="1"/>
    <xf numFmtId="0" fontId="4" fillId="0" borderId="6" xfId="0" applyFont="1" applyBorder="1" applyAlignment="1">
      <alignment horizontal="center" vertical="center"/>
    </xf>
    <xf numFmtId="0" fontId="0" fillId="0" borderId="4" xfId="0" applyBorder="1"/>
    <xf numFmtId="0" fontId="0" fillId="0" borderId="6"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4" borderId="2" xfId="0" applyFill="1" applyBorder="1"/>
    <xf numFmtId="0" fontId="0" fillId="3" borderId="9" xfId="0" applyFill="1" applyBorder="1"/>
    <xf numFmtId="0" fontId="0" fillId="5" borderId="1" xfId="0" applyFill="1" applyBorder="1" applyAlignment="1">
      <alignment horizontal="center" vertical="center"/>
    </xf>
    <xf numFmtId="0" fontId="0" fillId="0" borderId="11" xfId="0" applyBorder="1"/>
    <xf numFmtId="0" fontId="0" fillId="0" borderId="1" xfId="0" applyBorder="1"/>
    <xf numFmtId="0" fontId="0" fillId="0" borderId="3" xfId="0" applyBorder="1"/>
    <xf numFmtId="0" fontId="0" fillId="0" borderId="6" xfId="0" applyBorder="1"/>
    <xf numFmtId="0" fontId="0" fillId="6" borderId="0" xfId="0" applyFill="1" applyAlignment="1">
      <alignment horizontal="center" vertical="center"/>
    </xf>
    <xf numFmtId="0" fontId="0" fillId="6" borderId="1" xfId="0" applyFill="1" applyBorder="1" applyAlignment="1">
      <alignment horizontal="center" vertical="center"/>
    </xf>
    <xf numFmtId="0" fontId="0" fillId="6" borderId="0" xfId="0" applyFill="1" applyAlignment="1">
      <alignment horizontal="center"/>
    </xf>
    <xf numFmtId="0" fontId="0" fillId="6" borderId="1" xfId="0" applyFill="1" applyBorder="1" applyAlignment="1">
      <alignment horizontal="center"/>
    </xf>
    <xf numFmtId="0" fontId="5" fillId="6" borderId="0" xfId="0" applyFont="1" applyFill="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5" fillId="6" borderId="1" xfId="0" applyFont="1" applyFill="1" applyBorder="1" applyAlignment="1">
      <alignment horizontal="center" vertical="center"/>
    </xf>
    <xf numFmtId="0" fontId="5" fillId="4" borderId="0" xfId="0" applyFont="1" applyFill="1" applyAlignment="1">
      <alignment horizontal="center" vertical="center"/>
    </xf>
    <xf numFmtId="0" fontId="0" fillId="4" borderId="0" xfId="0" applyFill="1" applyAlignment="1">
      <alignment horizontal="center" vertical="center"/>
    </xf>
    <xf numFmtId="0" fontId="6" fillId="4" borderId="8" xfId="0" applyFont="1" applyFill="1" applyBorder="1"/>
    <xf numFmtId="0" fontId="6" fillId="3" borderId="8" xfId="0" applyFont="1" applyFill="1" applyBorder="1"/>
    <xf numFmtId="0" fontId="6" fillId="0" borderId="9" xfId="0" applyFont="1" applyBorder="1"/>
    <xf numFmtId="0" fontId="7" fillId="4" borderId="8" xfId="0" applyFont="1" applyFill="1" applyBorder="1"/>
    <xf numFmtId="0" fontId="7" fillId="3" borderId="8" xfId="0" applyFont="1" applyFill="1" applyBorder="1"/>
    <xf numFmtId="0" fontId="7" fillId="0" borderId="9" xfId="0" applyFont="1" applyBorder="1"/>
    <xf numFmtId="0" fontId="6" fillId="0" borderId="6" xfId="0" applyFont="1" applyBorder="1" applyAlignment="1">
      <alignment horizontal="center"/>
    </xf>
    <xf numFmtId="0" fontId="6" fillId="0" borderId="4" xfId="0" applyFont="1" applyBorder="1" applyAlignment="1">
      <alignment horizontal="center"/>
    </xf>
    <xf numFmtId="0" fontId="6" fillId="0" borderId="8" xfId="0" applyFont="1" applyBorder="1"/>
    <xf numFmtId="0" fontId="6" fillId="0" borderId="0" xfId="0" applyFont="1"/>
    <xf numFmtId="0" fontId="5" fillId="0" borderId="0" xfId="0" applyFont="1" applyAlignment="1">
      <alignment horizontal="center" vertical="center"/>
    </xf>
    <xf numFmtId="0" fontId="6" fillId="0" borderId="0" xfId="0" applyFont="1" applyAlignment="1">
      <alignment horizontal="center"/>
    </xf>
    <xf numFmtId="0" fontId="6" fillId="0" borderId="10" xfId="0" applyFont="1" applyBorder="1" applyAlignment="1">
      <alignment horizontal="center"/>
    </xf>
    <xf numFmtId="0" fontId="5" fillId="0" borderId="10" xfId="0" applyFont="1" applyBorder="1" applyAlignment="1">
      <alignment horizontal="center" vertical="center"/>
    </xf>
    <xf numFmtId="0" fontId="0" fillId="4" borderId="10" xfId="0" applyFill="1" applyBorder="1" applyAlignment="1">
      <alignment horizontal="center" vertical="center"/>
    </xf>
    <xf numFmtId="0" fontId="0" fillId="3" borderId="10" xfId="0" applyFill="1" applyBorder="1" applyAlignment="1">
      <alignment horizontal="center" vertical="center"/>
    </xf>
    <xf numFmtId="0" fontId="1" fillId="4" borderId="0" xfId="0" applyFont="1" applyFill="1" applyAlignment="1">
      <alignment horizontal="center" vertical="center"/>
    </xf>
    <xf numFmtId="0" fontId="1" fillId="0" borderId="0" xfId="0" applyFont="1" applyAlignment="1">
      <alignment horizontal="center" vertical="center"/>
    </xf>
    <xf numFmtId="0" fontId="0" fillId="7" borderId="0" xfId="0" applyFill="1" applyAlignment="1">
      <alignment horizontal="center" vertical="center"/>
    </xf>
    <xf numFmtId="0" fontId="0" fillId="7" borderId="0" xfId="0" applyFill="1"/>
    <xf numFmtId="0" fontId="7" fillId="0" borderId="7" xfId="0" applyFont="1" applyBorder="1"/>
    <xf numFmtId="0" fontId="0" fillId="0" borderId="6" xfId="0" applyBorder="1" applyAlignment="1">
      <alignment horizontal="center" vertical="center"/>
    </xf>
    <xf numFmtId="0" fontId="5" fillId="0" borderId="4" xfId="0" applyFont="1" applyBorder="1" applyAlignment="1">
      <alignment horizontal="center" vertical="center"/>
    </xf>
    <xf numFmtId="0" fontId="0" fillId="0" borderId="5" xfId="0" applyBorder="1" applyAlignment="1">
      <alignment horizontal="center" vertical="center"/>
    </xf>
    <xf numFmtId="0" fontId="0" fillId="8" borderId="0" xfId="0" applyFill="1"/>
    <xf numFmtId="0" fontId="8" fillId="0" borderId="12" xfId="2" applyAlignment="1">
      <alignment horizontal="center" vertical="center"/>
    </xf>
    <xf numFmtId="0" fontId="8" fillId="0" borderId="12" xfId="2" applyAlignment="1">
      <alignment vertical="center"/>
    </xf>
    <xf numFmtId="0" fontId="0" fillId="0" borderId="0" xfId="0" applyAlignment="1">
      <alignment horizontal="left" vertical="top" wrapText="1"/>
    </xf>
    <xf numFmtId="0" fontId="8" fillId="0" borderId="12" xfId="2" applyAlignment="1">
      <alignment horizontal="center" vertical="center"/>
    </xf>
    <xf numFmtId="0" fontId="0" fillId="0" borderId="0" xfId="0" applyAlignment="1">
      <alignment vertical="top"/>
    </xf>
    <xf numFmtId="0" fontId="0" fillId="2" borderId="0" xfId="0" applyFill="1" applyAlignment="1">
      <alignment horizontal="center" vertical="center"/>
    </xf>
    <xf numFmtId="0" fontId="0" fillId="0" borderId="0" xfId="0" applyAlignment="1">
      <alignment horizontal="center" vertical="center"/>
    </xf>
    <xf numFmtId="0" fontId="0" fillId="0" borderId="0" xfId="0" applyAlignment="1">
      <alignment vertical="top" wrapText="1"/>
    </xf>
    <xf numFmtId="0" fontId="0" fillId="0" borderId="0" xfId="0" applyAlignment="1">
      <alignment wrapText="1"/>
    </xf>
  </cellXfs>
  <cellStyles count="3">
    <cellStyle name="Heading 1" xfId="2" builtinId="16"/>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jamanetwork.com/journals/jamanetworkopen/fullarticle/2786700" TargetMode="External"/><Relationship Id="rId7" Type="http://schemas.openxmlformats.org/officeDocument/2006/relationships/printerSettings" Target="../printerSettings/printerSettings1.bin"/><Relationship Id="rId2" Type="http://schemas.openxmlformats.org/officeDocument/2006/relationships/hyperlink" Target="https://www.ncbi.nlm.nih.gov/pmc/articles/PMC8673882/" TargetMode="External"/><Relationship Id="rId1" Type="http://schemas.openxmlformats.org/officeDocument/2006/relationships/hyperlink" Target="https://www.ncbi.nlm.nih.gov/pmc/articles/PMC7159983/" TargetMode="External"/><Relationship Id="rId6" Type="http://schemas.openxmlformats.org/officeDocument/2006/relationships/hyperlink" Target="https://formative.jmir.org/2022/5/e34485" TargetMode="External"/><Relationship Id="rId5" Type="http://schemas.openxmlformats.org/officeDocument/2006/relationships/hyperlink" Target="https://www.ncbi.nlm.nih.gov/pmc/articles/PMC7681748/" TargetMode="External"/><Relationship Id="rId4" Type="http://schemas.openxmlformats.org/officeDocument/2006/relationships/hyperlink" Target="file:///C:\Users\shafi\OneDrive\Desktop\2021_EllyLee_ELLYLEE-MP-2021.pd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BC38F-EE0B-4FDF-88C2-552E36E05546}">
  <dimension ref="A3:O124"/>
  <sheetViews>
    <sheetView tabSelected="1" zoomScale="55" zoomScaleNormal="55" workbookViewId="0">
      <pane xSplit="1" ySplit="4" topLeftCell="C5" activePane="bottomRight" state="frozen"/>
      <selection pane="topRight" activeCell="C1" sqref="C1"/>
      <selection pane="bottomLeft" activeCell="A5" sqref="A5"/>
      <selection pane="bottomRight" activeCell="J51" sqref="J51:J52"/>
    </sheetView>
  </sheetViews>
  <sheetFormatPr defaultRowHeight="14.4" x14ac:dyDescent="0.3"/>
  <cols>
    <col min="1" max="1" width="6.21875" customWidth="1"/>
    <col min="2" max="2" width="25.5546875" customWidth="1"/>
    <col min="3" max="3" width="9.44140625" customWidth="1"/>
    <col min="4" max="4" width="54.88671875" customWidth="1"/>
    <col min="5" max="5" width="45" customWidth="1"/>
    <col min="6" max="12" width="20.21875" customWidth="1"/>
    <col min="13" max="15" width="39" customWidth="1"/>
  </cols>
  <sheetData>
    <row r="3" spans="1:15" ht="20.399999999999999" thickBot="1" x14ac:dyDescent="0.35">
      <c r="A3" s="74" t="s">
        <v>0</v>
      </c>
      <c r="B3" s="74" t="s">
        <v>1</v>
      </c>
      <c r="C3" s="74" t="s">
        <v>213</v>
      </c>
      <c r="D3" s="74" t="s">
        <v>2</v>
      </c>
      <c r="E3" s="74" t="s">
        <v>3</v>
      </c>
      <c r="F3" s="74" t="s">
        <v>4</v>
      </c>
      <c r="G3" s="74"/>
      <c r="H3" s="74"/>
      <c r="I3" s="74"/>
      <c r="J3" s="74" t="s">
        <v>5</v>
      </c>
      <c r="K3" s="74"/>
      <c r="L3" s="74" t="s">
        <v>6</v>
      </c>
      <c r="M3" s="74" t="s">
        <v>23</v>
      </c>
      <c r="N3" s="74" t="s">
        <v>24</v>
      </c>
      <c r="O3" s="74" t="s">
        <v>29</v>
      </c>
    </row>
    <row r="4" spans="1:15" ht="21" thickTop="1" thickBot="1" x14ac:dyDescent="0.35">
      <c r="A4" s="74"/>
      <c r="B4" s="74"/>
      <c r="C4" s="74"/>
      <c r="D4" s="74"/>
      <c r="E4" s="74"/>
      <c r="F4" s="71" t="s">
        <v>7</v>
      </c>
      <c r="G4" s="71" t="s">
        <v>8</v>
      </c>
      <c r="H4" s="71" t="s">
        <v>9</v>
      </c>
      <c r="I4" s="71" t="s">
        <v>10</v>
      </c>
      <c r="J4" s="72"/>
      <c r="K4" s="71" t="s">
        <v>77</v>
      </c>
      <c r="L4" s="74"/>
      <c r="M4" s="74"/>
      <c r="N4" s="74"/>
      <c r="O4" s="74"/>
    </row>
    <row r="5" spans="1:15" ht="64.8" customHeight="1" thickTop="1" x14ac:dyDescent="0.3">
      <c r="A5" s="76">
        <v>1</v>
      </c>
      <c r="B5" s="73"/>
      <c r="C5" s="73"/>
      <c r="D5" s="3"/>
      <c r="E5" s="78" t="s">
        <v>28</v>
      </c>
      <c r="F5" s="78" t="s">
        <v>79</v>
      </c>
      <c r="G5" s="78" t="s">
        <v>80</v>
      </c>
      <c r="H5" s="78"/>
      <c r="I5" s="78"/>
      <c r="J5" s="78" t="s">
        <v>83</v>
      </c>
      <c r="K5" s="3" t="s">
        <v>78</v>
      </c>
      <c r="L5" s="78"/>
      <c r="M5" s="78"/>
      <c r="N5" s="73"/>
      <c r="O5" s="78"/>
    </row>
    <row r="6" spans="1:15" ht="64.8" customHeight="1" x14ac:dyDescent="0.3">
      <c r="A6" s="76"/>
      <c r="B6" s="73"/>
      <c r="C6" s="73"/>
      <c r="D6" s="4"/>
      <c r="E6" s="78"/>
      <c r="F6" s="78"/>
      <c r="G6" s="78"/>
      <c r="H6" s="78"/>
      <c r="I6" s="78"/>
      <c r="J6" s="78"/>
      <c r="K6" s="3" t="s">
        <v>110</v>
      </c>
      <c r="L6" s="78"/>
      <c r="M6" s="78"/>
      <c r="N6" s="73"/>
      <c r="O6" s="78"/>
    </row>
    <row r="7" spans="1:15" ht="64.8" customHeight="1" x14ac:dyDescent="0.3">
      <c r="A7" s="76">
        <v>2</v>
      </c>
      <c r="B7" s="73"/>
      <c r="C7" s="73">
        <v>2021</v>
      </c>
      <c r="D7" s="3"/>
      <c r="E7" s="78"/>
      <c r="F7" s="3" t="s">
        <v>37</v>
      </c>
      <c r="G7" s="3"/>
      <c r="H7" s="3" t="s">
        <v>81</v>
      </c>
      <c r="I7" s="78"/>
      <c r="J7" s="78"/>
      <c r="K7" s="3" t="s">
        <v>82</v>
      </c>
      <c r="L7" s="78"/>
      <c r="M7" s="78"/>
      <c r="N7" s="78"/>
      <c r="O7" s="78"/>
    </row>
    <row r="8" spans="1:15" ht="64.8" customHeight="1" x14ac:dyDescent="0.3">
      <c r="A8" s="76"/>
      <c r="B8" s="73"/>
      <c r="C8" s="73"/>
      <c r="D8" s="4"/>
      <c r="E8" s="78"/>
      <c r="F8" s="3" t="s">
        <v>36</v>
      </c>
      <c r="G8" s="3" t="s">
        <v>35</v>
      </c>
      <c r="H8" s="3"/>
      <c r="I8" s="78"/>
      <c r="J8" s="78"/>
      <c r="K8" s="3" t="s">
        <v>109</v>
      </c>
      <c r="L8" s="78"/>
      <c r="M8" s="78"/>
      <c r="N8" s="78"/>
      <c r="O8" s="78"/>
    </row>
    <row r="9" spans="1:15" ht="64.8" customHeight="1" x14ac:dyDescent="0.3">
      <c r="A9" s="76">
        <v>3</v>
      </c>
      <c r="B9" s="73" t="s">
        <v>32</v>
      </c>
      <c r="C9" s="73">
        <v>2020</v>
      </c>
      <c r="D9" s="3" t="s">
        <v>11</v>
      </c>
      <c r="E9" s="78" t="s">
        <v>34</v>
      </c>
      <c r="F9" s="3"/>
      <c r="G9" s="78" t="s">
        <v>85</v>
      </c>
      <c r="H9" s="78" t="s">
        <v>88</v>
      </c>
      <c r="I9" s="78" t="s">
        <v>86</v>
      </c>
      <c r="J9" s="78" t="s">
        <v>87</v>
      </c>
      <c r="K9" s="3" t="s">
        <v>84</v>
      </c>
      <c r="L9" s="78" t="s">
        <v>214</v>
      </c>
      <c r="M9" s="78" t="s">
        <v>89</v>
      </c>
      <c r="N9" s="79" t="s">
        <v>90</v>
      </c>
      <c r="O9" s="79" t="s">
        <v>91</v>
      </c>
    </row>
    <row r="10" spans="1:15" ht="64.8" customHeight="1" x14ac:dyDescent="0.3">
      <c r="A10" s="76"/>
      <c r="B10" s="73"/>
      <c r="C10" s="73"/>
      <c r="D10" s="4" t="s">
        <v>33</v>
      </c>
      <c r="E10" s="78"/>
      <c r="F10" s="3" t="s">
        <v>38</v>
      </c>
      <c r="G10" s="78"/>
      <c r="H10" s="78"/>
      <c r="I10" s="78"/>
      <c r="J10" s="78"/>
      <c r="K10" s="3" t="s">
        <v>108</v>
      </c>
      <c r="L10" s="78"/>
      <c r="M10" s="78"/>
      <c r="N10" s="79"/>
      <c r="O10" s="79"/>
    </row>
    <row r="11" spans="1:15" ht="64.8" customHeight="1" x14ac:dyDescent="0.3">
      <c r="A11" s="77">
        <v>4</v>
      </c>
      <c r="B11" s="75" t="s">
        <v>92</v>
      </c>
      <c r="C11" s="73"/>
      <c r="D11" s="3" t="s">
        <v>12</v>
      </c>
      <c r="E11" s="78" t="s">
        <v>93</v>
      </c>
      <c r="F11" s="75" t="s">
        <v>76</v>
      </c>
      <c r="G11" s="78" t="s">
        <v>98</v>
      </c>
      <c r="H11" s="75"/>
      <c r="I11" s="75" t="s">
        <v>94</v>
      </c>
      <c r="J11" s="78" t="s">
        <v>95</v>
      </c>
      <c r="K11" s="3" t="s">
        <v>97</v>
      </c>
      <c r="L11" s="78" t="s">
        <v>42</v>
      </c>
      <c r="M11" s="78" t="s">
        <v>101</v>
      </c>
      <c r="N11" s="78" t="s">
        <v>99</v>
      </c>
      <c r="O11" s="78" t="s">
        <v>100</v>
      </c>
    </row>
    <row r="12" spans="1:15" ht="64.8" customHeight="1" x14ac:dyDescent="0.3">
      <c r="A12" s="77"/>
      <c r="B12" s="75"/>
      <c r="C12" s="73"/>
      <c r="D12" s="4" t="s">
        <v>13</v>
      </c>
      <c r="E12" s="78"/>
      <c r="F12" s="75"/>
      <c r="G12" s="78"/>
      <c r="H12" s="75"/>
      <c r="I12" s="75"/>
      <c r="J12" s="78"/>
      <c r="K12" s="5" t="s">
        <v>107</v>
      </c>
      <c r="L12" s="78"/>
      <c r="M12" s="78"/>
      <c r="N12" s="78"/>
      <c r="O12" s="78"/>
    </row>
    <row r="13" spans="1:15" ht="64.8" customHeight="1" x14ac:dyDescent="0.3">
      <c r="A13" s="76">
        <v>5</v>
      </c>
      <c r="B13" s="73" t="s">
        <v>40</v>
      </c>
      <c r="C13" s="73">
        <v>2021</v>
      </c>
      <c r="D13" s="3" t="s">
        <v>14</v>
      </c>
      <c r="E13" s="78" t="s">
        <v>41</v>
      </c>
      <c r="F13" s="78" t="s">
        <v>43</v>
      </c>
      <c r="G13" s="78" t="s">
        <v>103</v>
      </c>
      <c r="H13" s="78" t="s">
        <v>105</v>
      </c>
      <c r="I13" s="78"/>
      <c r="J13" s="78" t="s">
        <v>102</v>
      </c>
      <c r="K13" s="3" t="s">
        <v>96</v>
      </c>
      <c r="L13" s="78" t="s">
        <v>215</v>
      </c>
      <c r="M13" s="78" t="s">
        <v>44</v>
      </c>
      <c r="N13" s="78" t="s">
        <v>106</v>
      </c>
      <c r="O13" s="78" t="s">
        <v>45</v>
      </c>
    </row>
    <row r="14" spans="1:15" ht="64.8" customHeight="1" x14ac:dyDescent="0.3">
      <c r="A14" s="76"/>
      <c r="B14" s="73"/>
      <c r="C14" s="73"/>
      <c r="D14" s="4" t="s">
        <v>15</v>
      </c>
      <c r="E14" s="78"/>
      <c r="F14" s="78"/>
      <c r="G14" s="78"/>
      <c r="H14" s="78"/>
      <c r="I14" s="78"/>
      <c r="J14" s="78"/>
      <c r="K14" s="3" t="s">
        <v>104</v>
      </c>
      <c r="L14" s="78"/>
      <c r="M14" s="78"/>
      <c r="N14" s="78"/>
      <c r="O14" s="78"/>
    </row>
    <row r="15" spans="1:15" ht="64.8" customHeight="1" x14ac:dyDescent="0.3">
      <c r="A15" s="76">
        <v>6</v>
      </c>
      <c r="B15" s="73" t="s">
        <v>46</v>
      </c>
      <c r="C15" s="73">
        <v>2021</v>
      </c>
      <c r="D15" s="3" t="s">
        <v>16</v>
      </c>
      <c r="E15" s="78" t="s">
        <v>47</v>
      </c>
      <c r="F15" s="78" t="s">
        <v>49</v>
      </c>
      <c r="G15" s="78" t="s">
        <v>114</v>
      </c>
      <c r="H15" s="78"/>
      <c r="I15" s="78" t="s">
        <v>293</v>
      </c>
      <c r="J15" s="78" t="s">
        <v>113</v>
      </c>
      <c r="K15" s="3" t="s">
        <v>112</v>
      </c>
      <c r="L15" s="78" t="s">
        <v>216</v>
      </c>
      <c r="M15" s="78" t="s">
        <v>48</v>
      </c>
      <c r="N15" s="78" t="s">
        <v>50</v>
      </c>
      <c r="O15" s="78" t="s">
        <v>115</v>
      </c>
    </row>
    <row r="16" spans="1:15" ht="64.8" customHeight="1" x14ac:dyDescent="0.3">
      <c r="A16" s="76"/>
      <c r="B16" s="73"/>
      <c r="C16" s="73"/>
      <c r="D16" s="4" t="s">
        <v>17</v>
      </c>
      <c r="E16" s="78"/>
      <c r="F16" s="78"/>
      <c r="G16" s="78"/>
      <c r="H16" s="78"/>
      <c r="I16" s="78"/>
      <c r="J16" s="78"/>
      <c r="K16" s="3" t="s">
        <v>111</v>
      </c>
      <c r="L16" s="78"/>
      <c r="M16" s="78"/>
      <c r="N16" s="78"/>
      <c r="O16" s="78"/>
    </row>
    <row r="17" spans="1:15" ht="64.8" customHeight="1" x14ac:dyDescent="0.3">
      <c r="A17" s="77">
        <v>7</v>
      </c>
      <c r="B17" s="73"/>
      <c r="C17" s="73">
        <v>2022</v>
      </c>
      <c r="D17" s="3" t="s">
        <v>18</v>
      </c>
      <c r="E17" s="78" t="s">
        <v>30</v>
      </c>
      <c r="F17" s="78" t="s">
        <v>116</v>
      </c>
      <c r="G17" s="78" t="s">
        <v>119</v>
      </c>
      <c r="H17" s="78" t="s">
        <v>118</v>
      </c>
      <c r="I17" s="78"/>
      <c r="J17" s="78" t="s">
        <v>68</v>
      </c>
      <c r="K17" s="3" t="s">
        <v>220</v>
      </c>
      <c r="L17" s="78" t="s">
        <v>217</v>
      </c>
      <c r="M17" s="78" t="s">
        <v>31</v>
      </c>
      <c r="N17" s="78"/>
      <c r="O17" s="78"/>
    </row>
    <row r="18" spans="1:15" ht="64.8" customHeight="1" x14ac:dyDescent="0.3">
      <c r="A18" s="77"/>
      <c r="B18" s="73"/>
      <c r="C18" s="73"/>
      <c r="D18" s="4" t="s">
        <v>19</v>
      </c>
      <c r="E18" s="78"/>
      <c r="F18" s="78"/>
      <c r="G18" s="78"/>
      <c r="H18" s="78"/>
      <c r="I18" s="78"/>
      <c r="J18" s="78"/>
      <c r="K18" s="3" t="s">
        <v>117</v>
      </c>
      <c r="L18" s="78"/>
      <c r="M18" s="78"/>
      <c r="N18" s="78"/>
      <c r="O18" s="78"/>
    </row>
    <row r="19" spans="1:15" ht="64.8" customHeight="1" x14ac:dyDescent="0.3">
      <c r="A19" s="76">
        <v>8</v>
      </c>
      <c r="B19" s="73"/>
      <c r="C19" s="73">
        <v>2017</v>
      </c>
      <c r="D19" s="3" t="s">
        <v>20</v>
      </c>
      <c r="E19" s="78" t="s">
        <v>51</v>
      </c>
      <c r="F19" s="78" t="s">
        <v>49</v>
      </c>
      <c r="G19" s="78" t="s">
        <v>122</v>
      </c>
      <c r="H19" s="78"/>
      <c r="I19" s="78"/>
      <c r="J19" s="78" t="s">
        <v>219</v>
      </c>
      <c r="K19" s="3" t="s">
        <v>218</v>
      </c>
      <c r="L19" s="78" t="s">
        <v>121</v>
      </c>
      <c r="M19" s="78"/>
      <c r="N19" s="78"/>
      <c r="O19" s="78" t="s">
        <v>52</v>
      </c>
    </row>
    <row r="20" spans="1:15" ht="64.8" customHeight="1" x14ac:dyDescent="0.3">
      <c r="A20" s="76"/>
      <c r="B20" s="73"/>
      <c r="C20" s="73"/>
      <c r="D20" s="4"/>
      <c r="E20" s="78"/>
      <c r="F20" s="78"/>
      <c r="G20" s="78"/>
      <c r="H20" s="78"/>
      <c r="I20" s="78"/>
      <c r="J20" s="78"/>
      <c r="K20" s="3" t="s">
        <v>120</v>
      </c>
      <c r="L20" s="78"/>
      <c r="M20" s="78"/>
      <c r="N20" s="78"/>
      <c r="O20" s="78"/>
    </row>
    <row r="21" spans="1:15" ht="64.8" customHeight="1" x14ac:dyDescent="0.3">
      <c r="A21" s="76">
        <v>9</v>
      </c>
      <c r="B21" s="73"/>
      <c r="C21" s="73">
        <v>2022</v>
      </c>
      <c r="D21" s="3" t="s">
        <v>21</v>
      </c>
      <c r="E21" s="78" t="s">
        <v>53</v>
      </c>
      <c r="F21" s="78" t="s">
        <v>123</v>
      </c>
      <c r="G21" s="78" t="s">
        <v>297</v>
      </c>
      <c r="H21" s="78"/>
      <c r="I21" s="78"/>
      <c r="J21" s="78" t="s">
        <v>222</v>
      </c>
      <c r="K21" s="3" t="s">
        <v>221</v>
      </c>
      <c r="L21" s="78"/>
      <c r="M21" s="78"/>
      <c r="N21" s="78" t="s">
        <v>54</v>
      </c>
      <c r="O21" s="78" t="s">
        <v>125</v>
      </c>
    </row>
    <row r="22" spans="1:15" ht="64.8" customHeight="1" x14ac:dyDescent="0.3">
      <c r="A22" s="76"/>
      <c r="B22" s="73"/>
      <c r="C22" s="73"/>
      <c r="D22" s="4"/>
      <c r="E22" s="78"/>
      <c r="F22" s="78"/>
      <c r="G22" s="78"/>
      <c r="H22" s="78"/>
      <c r="I22" s="78"/>
      <c r="J22" s="78"/>
      <c r="K22" s="3" t="s">
        <v>124</v>
      </c>
      <c r="L22" s="78"/>
      <c r="M22" s="78"/>
      <c r="N22" s="78"/>
      <c r="O22" s="78"/>
    </row>
    <row r="23" spans="1:15" ht="64.8" customHeight="1" x14ac:dyDescent="0.3">
      <c r="A23" s="76">
        <v>10</v>
      </c>
      <c r="B23" s="73" t="s">
        <v>126</v>
      </c>
      <c r="C23" s="73">
        <v>2019</v>
      </c>
      <c r="D23" s="3"/>
      <c r="E23" s="78" t="s">
        <v>127</v>
      </c>
      <c r="F23" s="78" t="s">
        <v>130</v>
      </c>
      <c r="G23" s="78"/>
      <c r="H23" s="78" t="s">
        <v>131</v>
      </c>
      <c r="I23" s="78"/>
      <c r="J23" s="78"/>
      <c r="K23" s="3" t="s">
        <v>223</v>
      </c>
      <c r="L23" s="78" t="s">
        <v>129</v>
      </c>
      <c r="M23" s="78"/>
      <c r="N23" s="78"/>
      <c r="O23" s="78" t="s">
        <v>132</v>
      </c>
    </row>
    <row r="24" spans="1:15" ht="64.8" customHeight="1" x14ac:dyDescent="0.3">
      <c r="A24" s="76"/>
      <c r="B24" s="73"/>
      <c r="C24" s="73"/>
      <c r="D24" s="4"/>
      <c r="E24" s="78"/>
      <c r="F24" s="78"/>
      <c r="G24" s="78"/>
      <c r="H24" s="78"/>
      <c r="I24" s="78"/>
      <c r="J24" s="78"/>
      <c r="K24" s="3" t="s">
        <v>128</v>
      </c>
      <c r="L24" s="78"/>
      <c r="M24" s="78"/>
      <c r="N24" s="78"/>
      <c r="O24" s="78"/>
    </row>
    <row r="25" spans="1:15" ht="64.8" customHeight="1" x14ac:dyDescent="0.3">
      <c r="A25" s="76">
        <v>11</v>
      </c>
      <c r="B25" s="73" t="s">
        <v>55</v>
      </c>
      <c r="C25" s="73">
        <v>2020</v>
      </c>
      <c r="D25" s="3"/>
      <c r="E25" s="78"/>
      <c r="F25" s="78" t="s">
        <v>134</v>
      </c>
      <c r="G25" s="78" t="s">
        <v>56</v>
      </c>
      <c r="H25" s="78" t="s">
        <v>133</v>
      </c>
      <c r="I25" s="78"/>
      <c r="J25" s="78" t="s">
        <v>225</v>
      </c>
      <c r="K25" s="3"/>
      <c r="L25" s="78" t="s">
        <v>224</v>
      </c>
      <c r="M25" s="78"/>
      <c r="N25" s="78" t="s">
        <v>57</v>
      </c>
      <c r="O25" s="78" t="s">
        <v>58</v>
      </c>
    </row>
    <row r="26" spans="1:15" ht="64.8" customHeight="1" x14ac:dyDescent="0.3">
      <c r="A26" s="76"/>
      <c r="B26" s="73"/>
      <c r="C26" s="73"/>
      <c r="D26" s="4"/>
      <c r="E26" s="78"/>
      <c r="F26" s="78"/>
      <c r="G26" s="78"/>
      <c r="H26" s="78"/>
      <c r="I26" s="78"/>
      <c r="J26" s="78"/>
      <c r="K26" s="3"/>
      <c r="L26" s="78"/>
      <c r="M26" s="78"/>
      <c r="N26" s="78"/>
      <c r="O26" s="78"/>
    </row>
    <row r="27" spans="1:15" ht="64.8" customHeight="1" x14ac:dyDescent="0.3">
      <c r="A27" s="76">
        <v>12</v>
      </c>
      <c r="B27" s="73"/>
      <c r="C27" s="73">
        <v>2022</v>
      </c>
      <c r="D27" s="3" t="s">
        <v>22</v>
      </c>
      <c r="E27" s="78" t="s">
        <v>135</v>
      </c>
      <c r="F27" s="78"/>
      <c r="G27" s="78" t="s">
        <v>136</v>
      </c>
      <c r="H27" s="78"/>
      <c r="I27" s="78"/>
      <c r="J27" s="78" t="s">
        <v>226</v>
      </c>
      <c r="K27" s="3"/>
      <c r="L27" s="78"/>
      <c r="M27" s="78" t="s">
        <v>59</v>
      </c>
      <c r="N27" s="78"/>
      <c r="O27" s="78"/>
    </row>
    <row r="28" spans="1:15" ht="64.8" customHeight="1" x14ac:dyDescent="0.3">
      <c r="A28" s="76"/>
      <c r="B28" s="73"/>
      <c r="C28" s="73"/>
      <c r="D28" s="4"/>
      <c r="E28" s="78"/>
      <c r="F28" s="78"/>
      <c r="G28" s="78"/>
      <c r="H28" s="78"/>
      <c r="I28" s="78"/>
      <c r="J28" s="78"/>
      <c r="K28" s="3"/>
      <c r="L28" s="78"/>
      <c r="M28" s="78"/>
      <c r="N28" s="78"/>
      <c r="O28" s="78"/>
    </row>
    <row r="29" spans="1:15" ht="64.8" customHeight="1" x14ac:dyDescent="0.3">
      <c r="A29" s="76">
        <v>13</v>
      </c>
      <c r="B29" s="73"/>
      <c r="C29" s="73">
        <v>2021</v>
      </c>
      <c r="D29" s="3"/>
      <c r="E29" s="78" t="s">
        <v>60</v>
      </c>
      <c r="F29" s="78" t="s">
        <v>61</v>
      </c>
      <c r="G29" s="78"/>
      <c r="H29" s="78"/>
      <c r="I29" s="78"/>
      <c r="J29" s="78" t="s">
        <v>227</v>
      </c>
      <c r="K29" s="3" t="s">
        <v>218</v>
      </c>
      <c r="L29" s="78"/>
      <c r="M29" s="78"/>
      <c r="N29" s="78" t="s">
        <v>63</v>
      </c>
      <c r="O29" s="78" t="s">
        <v>62</v>
      </c>
    </row>
    <row r="30" spans="1:15" ht="64.8" customHeight="1" x14ac:dyDescent="0.3">
      <c r="A30" s="76"/>
      <c r="B30" s="73"/>
      <c r="C30" s="73"/>
      <c r="D30" s="4"/>
      <c r="E30" s="78"/>
      <c r="F30" s="78"/>
      <c r="G30" s="78"/>
      <c r="H30" s="78"/>
      <c r="I30" s="78"/>
      <c r="J30" s="78"/>
      <c r="K30" s="3" t="s">
        <v>137</v>
      </c>
      <c r="L30" s="78"/>
      <c r="M30" s="78"/>
      <c r="N30" s="78"/>
      <c r="O30" s="78"/>
    </row>
    <row r="31" spans="1:15" ht="64.8" customHeight="1" x14ac:dyDescent="0.3">
      <c r="A31" s="76">
        <v>14</v>
      </c>
      <c r="B31" s="73" t="s">
        <v>64</v>
      </c>
      <c r="C31" s="73">
        <v>2021</v>
      </c>
      <c r="D31" s="3"/>
      <c r="E31" s="78" t="s">
        <v>65</v>
      </c>
      <c r="F31" s="78" t="s">
        <v>139</v>
      </c>
      <c r="G31" s="78" t="s">
        <v>140</v>
      </c>
      <c r="H31" s="78"/>
      <c r="I31" s="78"/>
      <c r="J31" s="78"/>
      <c r="K31" s="3"/>
      <c r="L31" s="78" t="s">
        <v>66</v>
      </c>
      <c r="M31" s="78"/>
      <c r="N31" s="78"/>
      <c r="O31" s="78" t="s">
        <v>141</v>
      </c>
    </row>
    <row r="32" spans="1:15" ht="64.8" customHeight="1" x14ac:dyDescent="0.3">
      <c r="A32" s="76"/>
      <c r="B32" s="73"/>
      <c r="C32" s="73"/>
      <c r="D32" s="4"/>
      <c r="E32" s="78"/>
      <c r="F32" s="78"/>
      <c r="G32" s="78"/>
      <c r="H32" s="78"/>
      <c r="I32" s="78"/>
      <c r="J32" s="78"/>
      <c r="K32" s="3" t="s">
        <v>138</v>
      </c>
      <c r="L32" s="78"/>
      <c r="M32" s="78"/>
      <c r="N32" s="78"/>
      <c r="O32" s="78"/>
    </row>
    <row r="33" spans="1:15" ht="64.8" customHeight="1" x14ac:dyDescent="0.3">
      <c r="A33" s="76">
        <v>15</v>
      </c>
      <c r="B33" s="73"/>
      <c r="C33" s="73">
        <v>2022</v>
      </c>
      <c r="D33" s="3" t="s">
        <v>27</v>
      </c>
      <c r="E33" s="78" t="s">
        <v>67</v>
      </c>
      <c r="F33" s="78" t="s">
        <v>143</v>
      </c>
      <c r="G33" s="78"/>
      <c r="H33" s="78"/>
      <c r="I33" s="78"/>
      <c r="J33" s="78" t="s">
        <v>142</v>
      </c>
      <c r="K33" s="3"/>
      <c r="L33" s="78" t="s">
        <v>228</v>
      </c>
      <c r="M33" s="78"/>
      <c r="N33" s="78" t="s">
        <v>69</v>
      </c>
      <c r="O33" s="78" t="s">
        <v>144</v>
      </c>
    </row>
    <row r="34" spans="1:15" ht="64.8" customHeight="1" x14ac:dyDescent="0.3">
      <c r="A34" s="76"/>
      <c r="B34" s="73"/>
      <c r="C34" s="73"/>
      <c r="D34" s="4"/>
      <c r="E34" s="78"/>
      <c r="F34" s="78"/>
      <c r="G34" s="78"/>
      <c r="H34" s="78"/>
      <c r="I34" s="78"/>
      <c r="J34" s="78"/>
      <c r="K34" s="3"/>
      <c r="L34" s="78"/>
      <c r="M34" s="78"/>
      <c r="N34" s="78"/>
      <c r="O34" s="78"/>
    </row>
    <row r="35" spans="1:15" ht="64.8" customHeight="1" x14ac:dyDescent="0.3">
      <c r="A35" s="76">
        <v>16</v>
      </c>
      <c r="B35" s="73"/>
      <c r="C35" s="73">
        <v>2021</v>
      </c>
      <c r="D35" s="3" t="s">
        <v>25</v>
      </c>
      <c r="E35" s="78"/>
      <c r="F35" s="78" t="s">
        <v>70</v>
      </c>
      <c r="G35" s="78"/>
      <c r="H35" s="78"/>
      <c r="I35" s="78"/>
      <c r="J35" s="78" t="s">
        <v>146</v>
      </c>
      <c r="K35" s="3"/>
      <c r="L35" s="78"/>
      <c r="M35" s="78"/>
      <c r="N35" s="78" t="s">
        <v>71</v>
      </c>
      <c r="O35" s="78" t="s">
        <v>145</v>
      </c>
    </row>
    <row r="36" spans="1:15" ht="64.8" customHeight="1" x14ac:dyDescent="0.3">
      <c r="A36" s="76"/>
      <c r="B36" s="73"/>
      <c r="C36" s="73"/>
      <c r="D36" s="4"/>
      <c r="E36" s="78"/>
      <c r="F36" s="78"/>
      <c r="G36" s="78"/>
      <c r="H36" s="78"/>
      <c r="I36" s="78"/>
      <c r="J36" s="78"/>
      <c r="K36" s="3" t="s">
        <v>147</v>
      </c>
      <c r="L36" s="78"/>
      <c r="M36" s="78"/>
      <c r="N36" s="78"/>
      <c r="O36" s="78"/>
    </row>
    <row r="37" spans="1:15" ht="64.8" customHeight="1" x14ac:dyDescent="0.3">
      <c r="A37" s="77">
        <v>17</v>
      </c>
      <c r="B37" s="73" t="s">
        <v>72</v>
      </c>
      <c r="C37" s="73">
        <v>2019</v>
      </c>
      <c r="D37" s="3" t="s">
        <v>26</v>
      </c>
      <c r="E37" s="78" t="s">
        <v>73</v>
      </c>
      <c r="F37" s="78" t="s">
        <v>75</v>
      </c>
      <c r="G37" s="78"/>
      <c r="H37" s="78"/>
      <c r="I37" s="78" t="s">
        <v>149</v>
      </c>
      <c r="J37" s="78" t="s">
        <v>150</v>
      </c>
      <c r="K37" s="3" t="s">
        <v>229</v>
      </c>
      <c r="L37" s="78" t="s">
        <v>230</v>
      </c>
      <c r="M37" s="78"/>
      <c r="N37" s="78" t="s">
        <v>74</v>
      </c>
      <c r="O37" s="78"/>
    </row>
    <row r="38" spans="1:15" ht="64.8" customHeight="1" x14ac:dyDescent="0.3">
      <c r="A38" s="77"/>
      <c r="B38" s="73"/>
      <c r="C38" s="73"/>
      <c r="D38" s="4"/>
      <c r="E38" s="78"/>
      <c r="F38" s="78"/>
      <c r="G38" s="78"/>
      <c r="H38" s="78"/>
      <c r="I38" s="78"/>
      <c r="J38" s="78"/>
      <c r="K38" s="3" t="s">
        <v>148</v>
      </c>
      <c r="L38" s="78"/>
      <c r="M38" s="78"/>
      <c r="N38" s="78"/>
      <c r="O38" s="78"/>
    </row>
    <row r="39" spans="1:15" ht="64.8" customHeight="1" x14ac:dyDescent="0.3">
      <c r="A39" s="76">
        <v>18</v>
      </c>
      <c r="B39" s="73"/>
      <c r="C39" s="73"/>
      <c r="D39" s="1"/>
      <c r="E39" s="78"/>
      <c r="F39" s="78" t="s">
        <v>70</v>
      </c>
      <c r="G39" s="78" t="s">
        <v>177</v>
      </c>
      <c r="H39" s="78"/>
      <c r="I39" s="78"/>
      <c r="J39" s="78" t="s">
        <v>39</v>
      </c>
      <c r="K39" s="3" t="s">
        <v>176</v>
      </c>
      <c r="L39" s="78"/>
      <c r="M39" s="78"/>
      <c r="N39" s="78"/>
      <c r="O39" s="78"/>
    </row>
    <row r="40" spans="1:15" ht="62.4" customHeight="1" x14ac:dyDescent="0.3">
      <c r="A40" s="76"/>
      <c r="B40" s="73"/>
      <c r="C40" s="73"/>
      <c r="D40" s="7"/>
      <c r="E40" s="78"/>
      <c r="F40" s="78"/>
      <c r="G40" s="78"/>
      <c r="H40" s="78"/>
      <c r="I40" s="78"/>
      <c r="J40" s="78"/>
      <c r="K40" s="3" t="s">
        <v>180</v>
      </c>
      <c r="L40" s="78"/>
      <c r="M40" s="78"/>
      <c r="N40" s="78"/>
      <c r="O40" s="78"/>
    </row>
    <row r="41" spans="1:15" ht="62.4" customHeight="1" x14ac:dyDescent="0.3">
      <c r="A41" s="76">
        <v>19</v>
      </c>
      <c r="B41" s="73"/>
      <c r="C41" s="73">
        <v>2022</v>
      </c>
      <c r="D41" s="1" t="s">
        <v>178</v>
      </c>
      <c r="E41" s="78" t="s">
        <v>179</v>
      </c>
      <c r="F41" s="78" t="s">
        <v>183</v>
      </c>
      <c r="G41" s="78" t="s">
        <v>244</v>
      </c>
      <c r="H41" s="78" t="s">
        <v>245</v>
      </c>
      <c r="I41" s="78"/>
      <c r="J41" s="78" t="s">
        <v>231</v>
      </c>
      <c r="K41" s="3" t="s">
        <v>218</v>
      </c>
      <c r="L41" s="78"/>
      <c r="M41" s="78" t="s">
        <v>182</v>
      </c>
      <c r="N41" s="78"/>
      <c r="O41" s="78"/>
    </row>
    <row r="42" spans="1:15" ht="62.4" customHeight="1" x14ac:dyDescent="0.3">
      <c r="A42" s="76"/>
      <c r="B42" s="73"/>
      <c r="C42" s="73"/>
      <c r="D42" s="7"/>
      <c r="E42" s="78"/>
      <c r="F42" s="78"/>
      <c r="G42" s="78"/>
      <c r="H42" s="78"/>
      <c r="I42" s="78"/>
      <c r="J42" s="78"/>
      <c r="K42" s="3" t="s">
        <v>181</v>
      </c>
      <c r="L42" s="78"/>
      <c r="M42" s="78"/>
      <c r="N42" s="78"/>
      <c r="O42" s="78"/>
    </row>
    <row r="43" spans="1:15" ht="62.4" customHeight="1" x14ac:dyDescent="0.3">
      <c r="A43" s="76">
        <v>20</v>
      </c>
      <c r="B43" s="73"/>
      <c r="C43" s="73">
        <v>2022</v>
      </c>
      <c r="D43" s="1" t="s">
        <v>184</v>
      </c>
      <c r="E43" s="78"/>
      <c r="F43" s="78" t="s">
        <v>43</v>
      </c>
      <c r="G43" s="78" t="s">
        <v>187</v>
      </c>
      <c r="H43" s="78"/>
      <c r="I43" s="78"/>
      <c r="J43" s="78" t="s">
        <v>232</v>
      </c>
      <c r="K43" s="3" t="s">
        <v>96</v>
      </c>
      <c r="L43" s="78" t="s">
        <v>233</v>
      </c>
      <c r="M43" s="78"/>
      <c r="N43" s="78"/>
      <c r="O43" s="78" t="s">
        <v>186</v>
      </c>
    </row>
    <row r="44" spans="1:15" ht="62.4" customHeight="1" x14ac:dyDescent="0.3">
      <c r="A44" s="76"/>
      <c r="B44" s="73"/>
      <c r="C44" s="73"/>
      <c r="D44" s="7"/>
      <c r="E44" s="78"/>
      <c r="F44" s="78"/>
      <c r="G44" s="78"/>
      <c r="H44" s="78"/>
      <c r="I44" s="78"/>
      <c r="J44" s="78"/>
      <c r="K44" s="3" t="s">
        <v>185</v>
      </c>
      <c r="L44" s="78"/>
      <c r="M44" s="78"/>
      <c r="N44" s="78"/>
      <c r="O44" s="78"/>
    </row>
    <row r="45" spans="1:15" ht="62.4" customHeight="1" x14ac:dyDescent="0.3">
      <c r="A45" s="76">
        <v>21</v>
      </c>
      <c r="B45" s="73" t="s">
        <v>188</v>
      </c>
      <c r="C45" s="73"/>
      <c r="D45" s="1"/>
      <c r="E45" s="78" t="s">
        <v>189</v>
      </c>
      <c r="F45" s="78" t="s">
        <v>190</v>
      </c>
      <c r="G45" s="78"/>
      <c r="H45" s="78"/>
      <c r="I45" s="78"/>
      <c r="J45" s="78"/>
      <c r="K45" s="3"/>
      <c r="L45" s="78"/>
      <c r="M45" s="78" t="s">
        <v>194</v>
      </c>
      <c r="N45" s="78"/>
      <c r="O45" s="78" t="s">
        <v>193</v>
      </c>
    </row>
    <row r="46" spans="1:15" ht="62.4" customHeight="1" x14ac:dyDescent="0.3">
      <c r="A46" s="76"/>
      <c r="B46" s="73"/>
      <c r="C46" s="73"/>
      <c r="D46" s="7"/>
      <c r="E46" s="78"/>
      <c r="F46" s="78"/>
      <c r="G46" s="78"/>
      <c r="H46" s="78"/>
      <c r="I46" s="78"/>
      <c r="J46" s="78"/>
      <c r="K46" s="3" t="s">
        <v>191</v>
      </c>
      <c r="L46" s="78"/>
      <c r="M46" s="78"/>
      <c r="N46" s="78"/>
      <c r="O46" s="78"/>
    </row>
    <row r="47" spans="1:15" ht="62.4" customHeight="1" x14ac:dyDescent="0.3">
      <c r="A47" s="76">
        <v>22</v>
      </c>
      <c r="B47" s="73"/>
      <c r="C47" s="73">
        <v>2016</v>
      </c>
      <c r="D47" s="1"/>
      <c r="E47" s="78" t="s">
        <v>195</v>
      </c>
      <c r="F47" s="78" t="s">
        <v>43</v>
      </c>
      <c r="G47" s="78" t="s">
        <v>300</v>
      </c>
      <c r="H47" s="78"/>
      <c r="I47" s="78"/>
      <c r="J47" s="78" t="s">
        <v>234</v>
      </c>
      <c r="K47" s="3"/>
      <c r="L47" s="78"/>
      <c r="M47" s="78" t="s">
        <v>192</v>
      </c>
      <c r="N47" s="78"/>
      <c r="O47" s="78"/>
    </row>
    <row r="48" spans="1:15" ht="62.4" customHeight="1" x14ac:dyDescent="0.3">
      <c r="A48" s="76"/>
      <c r="B48" s="73"/>
      <c r="C48" s="73"/>
      <c r="D48" s="7"/>
      <c r="E48" s="78"/>
      <c r="F48" s="78"/>
      <c r="G48" s="78"/>
      <c r="H48" s="78"/>
      <c r="I48" s="78"/>
      <c r="J48" s="78"/>
      <c r="K48" s="3"/>
      <c r="L48" s="78"/>
      <c r="M48" s="78"/>
      <c r="N48" s="78"/>
      <c r="O48" s="78"/>
    </row>
    <row r="49" spans="1:15" ht="62.4" customHeight="1" x14ac:dyDescent="0.3">
      <c r="A49" s="76">
        <v>23</v>
      </c>
      <c r="B49" s="73"/>
      <c r="C49" s="73">
        <v>2020</v>
      </c>
      <c r="D49" s="1" t="s">
        <v>196</v>
      </c>
      <c r="E49" s="78"/>
      <c r="F49" s="78" t="s">
        <v>198</v>
      </c>
      <c r="G49" s="78" t="s">
        <v>200</v>
      </c>
      <c r="H49" s="78"/>
      <c r="I49" s="78"/>
      <c r="J49" s="78" t="s">
        <v>235</v>
      </c>
      <c r="K49" s="3" t="s">
        <v>96</v>
      </c>
      <c r="L49" s="78"/>
      <c r="M49" s="78"/>
      <c r="N49" s="78" t="s">
        <v>199</v>
      </c>
      <c r="O49" s="78"/>
    </row>
    <row r="50" spans="1:15" ht="62.4" customHeight="1" x14ac:dyDescent="0.3">
      <c r="A50" s="76"/>
      <c r="B50" s="73"/>
      <c r="C50" s="73"/>
      <c r="D50" s="7" t="s">
        <v>197</v>
      </c>
      <c r="E50" s="78"/>
      <c r="F50" s="78"/>
      <c r="G50" s="78"/>
      <c r="H50" s="78"/>
      <c r="I50" s="78"/>
      <c r="J50" s="78"/>
      <c r="K50" s="3"/>
      <c r="L50" s="78"/>
      <c r="M50" s="78"/>
      <c r="N50" s="78"/>
      <c r="O50" s="78"/>
    </row>
    <row r="51" spans="1:15" ht="62.4" customHeight="1" x14ac:dyDescent="0.3">
      <c r="A51" s="76">
        <v>24</v>
      </c>
      <c r="B51" s="73"/>
      <c r="C51" s="73">
        <v>2021</v>
      </c>
      <c r="D51" s="1"/>
      <c r="E51" s="78" t="s">
        <v>202</v>
      </c>
      <c r="F51" s="78" t="s">
        <v>43</v>
      </c>
      <c r="G51" s="78" t="s">
        <v>246</v>
      </c>
      <c r="H51" s="78" t="s">
        <v>247</v>
      </c>
      <c r="I51" s="78"/>
      <c r="J51" s="78" t="s">
        <v>203</v>
      </c>
      <c r="K51" s="3" t="s">
        <v>218</v>
      </c>
      <c r="L51" s="78" t="s">
        <v>236</v>
      </c>
      <c r="M51" s="78" t="s">
        <v>201</v>
      </c>
      <c r="N51" s="78"/>
      <c r="O51" s="78" t="s">
        <v>205</v>
      </c>
    </row>
    <row r="52" spans="1:15" ht="62.4" customHeight="1" x14ac:dyDescent="0.3">
      <c r="A52" s="76"/>
      <c r="B52" s="73"/>
      <c r="C52" s="73"/>
      <c r="D52" s="7"/>
      <c r="E52" s="78"/>
      <c r="F52" s="78"/>
      <c r="G52" s="78"/>
      <c r="H52" s="78"/>
      <c r="I52" s="78"/>
      <c r="J52" s="78"/>
      <c r="K52" s="3" t="s">
        <v>204</v>
      </c>
      <c r="L52" s="78"/>
      <c r="M52" s="78"/>
      <c r="N52" s="78"/>
      <c r="O52" s="78"/>
    </row>
    <row r="53" spans="1:15" ht="62.4" customHeight="1" x14ac:dyDescent="0.3">
      <c r="A53" s="77">
        <v>25</v>
      </c>
      <c r="B53" s="73"/>
      <c r="C53" s="8"/>
      <c r="D53" s="1"/>
      <c r="E53" s="78"/>
      <c r="F53" s="78"/>
      <c r="G53" s="78"/>
      <c r="H53" s="78"/>
      <c r="I53" s="78"/>
      <c r="J53" s="78"/>
      <c r="K53" s="3"/>
      <c r="L53" s="78"/>
      <c r="M53" s="78"/>
      <c r="N53" s="78"/>
      <c r="O53" s="78"/>
    </row>
    <row r="54" spans="1:15" ht="62.4" customHeight="1" x14ac:dyDescent="0.3">
      <c r="A54" s="77"/>
      <c r="B54" s="73"/>
      <c r="C54" s="8"/>
      <c r="D54" s="7"/>
      <c r="E54" s="78"/>
      <c r="F54" s="78"/>
      <c r="G54" s="78"/>
      <c r="H54" s="78"/>
      <c r="I54" s="78"/>
      <c r="J54" s="78"/>
      <c r="K54" s="3"/>
      <c r="L54" s="78"/>
      <c r="M54" s="78"/>
      <c r="N54" s="78"/>
      <c r="O54" s="78"/>
    </row>
    <row r="55" spans="1:15" ht="62.4" customHeight="1" x14ac:dyDescent="0.3">
      <c r="A55" s="77">
        <v>26</v>
      </c>
      <c r="B55" s="73"/>
      <c r="C55" s="8"/>
      <c r="D55" s="1"/>
      <c r="E55" s="78"/>
      <c r="F55" s="78"/>
      <c r="G55" s="78"/>
      <c r="H55" s="78"/>
      <c r="I55" s="78"/>
      <c r="J55" s="78"/>
      <c r="K55" s="3"/>
      <c r="L55" s="78"/>
      <c r="M55" s="78"/>
      <c r="N55" s="78"/>
      <c r="O55" s="78"/>
    </row>
    <row r="56" spans="1:15" ht="62.4" customHeight="1" x14ac:dyDescent="0.3">
      <c r="A56" s="77"/>
      <c r="B56" s="73"/>
      <c r="C56" s="8"/>
      <c r="D56" s="7"/>
      <c r="E56" s="78"/>
      <c r="F56" s="78"/>
      <c r="G56" s="78"/>
      <c r="H56" s="78"/>
      <c r="I56" s="78"/>
      <c r="J56" s="78"/>
      <c r="K56" s="3"/>
      <c r="L56" s="78"/>
      <c r="M56" s="78"/>
      <c r="N56" s="78"/>
      <c r="O56" s="78"/>
    </row>
    <row r="57" spans="1:15" ht="62.4" customHeight="1" x14ac:dyDescent="0.3">
      <c r="A57" s="77">
        <v>27</v>
      </c>
      <c r="B57" s="73"/>
      <c r="C57" s="8"/>
      <c r="D57" s="1"/>
      <c r="E57" s="78"/>
      <c r="F57" s="78"/>
      <c r="G57" s="78"/>
      <c r="H57" s="78"/>
      <c r="I57" s="78"/>
      <c r="J57" s="78"/>
      <c r="K57" s="3"/>
      <c r="L57" s="78"/>
      <c r="M57" s="78"/>
      <c r="N57" s="78"/>
      <c r="O57" s="78"/>
    </row>
    <row r="58" spans="1:15" ht="62.4" customHeight="1" x14ac:dyDescent="0.3">
      <c r="A58" s="77"/>
      <c r="B58" s="73"/>
      <c r="C58" s="8"/>
      <c r="D58" s="7"/>
      <c r="E58" s="78"/>
      <c r="F58" s="78"/>
      <c r="G58" s="78"/>
      <c r="H58" s="78"/>
      <c r="I58" s="78"/>
      <c r="J58" s="78"/>
      <c r="K58" s="3"/>
      <c r="L58" s="78"/>
      <c r="M58" s="78"/>
      <c r="N58" s="78"/>
      <c r="O58" s="78"/>
    </row>
    <row r="59" spans="1:15" ht="62.4" customHeight="1" x14ac:dyDescent="0.3">
      <c r="A59" s="77">
        <v>28</v>
      </c>
      <c r="B59" s="73"/>
      <c r="C59" s="8"/>
      <c r="D59" s="1"/>
      <c r="E59" s="78"/>
      <c r="F59" s="78"/>
      <c r="G59" s="78"/>
      <c r="H59" s="78"/>
      <c r="I59" s="78"/>
      <c r="J59" s="78"/>
      <c r="K59" s="3"/>
      <c r="L59" s="78"/>
      <c r="M59" s="78"/>
      <c r="N59" s="78"/>
      <c r="O59" s="78"/>
    </row>
    <row r="60" spans="1:15" ht="62.4" customHeight="1" x14ac:dyDescent="0.3">
      <c r="A60" s="77"/>
      <c r="B60" s="73"/>
      <c r="C60" s="8"/>
      <c r="D60" s="7"/>
      <c r="E60" s="78"/>
      <c r="F60" s="78"/>
      <c r="G60" s="78"/>
      <c r="H60" s="78"/>
      <c r="I60" s="78"/>
      <c r="J60" s="78"/>
      <c r="K60" s="3"/>
      <c r="L60" s="78"/>
      <c r="M60" s="78"/>
      <c r="N60" s="78"/>
      <c r="O60" s="78"/>
    </row>
    <row r="61" spans="1:15" ht="62.4" customHeight="1" x14ac:dyDescent="0.3">
      <c r="A61" s="77">
        <v>29</v>
      </c>
      <c r="B61" s="73"/>
      <c r="C61" s="8"/>
      <c r="D61" s="1"/>
      <c r="E61" s="78"/>
      <c r="F61" s="78"/>
      <c r="G61" s="78"/>
      <c r="H61" s="78"/>
      <c r="I61" s="78"/>
      <c r="J61" s="78"/>
      <c r="K61" s="3"/>
      <c r="L61" s="78"/>
      <c r="M61" s="78"/>
      <c r="N61" s="78"/>
      <c r="O61" s="78"/>
    </row>
    <row r="62" spans="1:15" ht="62.4" customHeight="1" x14ac:dyDescent="0.3">
      <c r="A62" s="77"/>
      <c r="B62" s="73"/>
      <c r="C62" s="8"/>
      <c r="D62" s="7"/>
      <c r="E62" s="78"/>
      <c r="F62" s="78"/>
      <c r="G62" s="78"/>
      <c r="H62" s="78"/>
      <c r="I62" s="78"/>
      <c r="J62" s="78"/>
      <c r="K62" s="3"/>
      <c r="L62" s="78"/>
      <c r="M62" s="78"/>
      <c r="N62" s="78"/>
      <c r="O62" s="78"/>
    </row>
    <row r="63" spans="1:15" ht="62.4" customHeight="1" x14ac:dyDescent="0.3">
      <c r="A63" s="77">
        <v>30</v>
      </c>
      <c r="B63" s="73"/>
      <c r="C63" s="8"/>
      <c r="D63" s="1"/>
      <c r="E63" s="78"/>
      <c r="F63" s="78"/>
      <c r="G63" s="78"/>
      <c r="H63" s="78"/>
      <c r="I63" s="78"/>
      <c r="J63" s="78"/>
      <c r="K63" s="3"/>
      <c r="L63" s="78"/>
      <c r="M63" s="78"/>
      <c r="N63" s="78"/>
      <c r="O63" s="78"/>
    </row>
    <row r="64" spans="1:15" ht="62.4" customHeight="1" x14ac:dyDescent="0.3">
      <c r="A64" s="77"/>
      <c r="B64" s="73"/>
      <c r="C64" s="8"/>
      <c r="D64" s="7"/>
      <c r="E64" s="78"/>
      <c r="F64" s="78"/>
      <c r="G64" s="78"/>
      <c r="H64" s="78"/>
      <c r="I64" s="78"/>
      <c r="J64" s="78"/>
      <c r="K64" s="3"/>
      <c r="L64" s="78"/>
      <c r="M64" s="78"/>
      <c r="N64" s="78"/>
      <c r="O64" s="78"/>
    </row>
    <row r="65" spans="1:15" ht="62.4" customHeight="1" x14ac:dyDescent="0.3">
      <c r="A65" s="77">
        <v>31</v>
      </c>
      <c r="B65" s="73"/>
      <c r="C65" s="8"/>
      <c r="D65" s="1"/>
      <c r="E65" s="78"/>
      <c r="F65" s="78"/>
      <c r="G65" s="78"/>
      <c r="H65" s="78"/>
      <c r="I65" s="78"/>
      <c r="J65" s="78"/>
      <c r="K65" s="3"/>
      <c r="L65" s="78"/>
      <c r="M65" s="78"/>
      <c r="N65" s="78"/>
      <c r="O65" s="78"/>
    </row>
    <row r="66" spans="1:15" ht="62.4" customHeight="1" x14ac:dyDescent="0.3">
      <c r="A66" s="77"/>
      <c r="B66" s="73"/>
      <c r="C66" s="8"/>
      <c r="D66" s="7"/>
      <c r="E66" s="78"/>
      <c r="F66" s="78"/>
      <c r="G66" s="78"/>
      <c r="H66" s="78"/>
      <c r="I66" s="78"/>
      <c r="J66" s="78"/>
      <c r="K66" s="3"/>
      <c r="L66" s="78"/>
      <c r="M66" s="78"/>
      <c r="N66" s="78"/>
      <c r="O66" s="78"/>
    </row>
    <row r="67" spans="1:15" ht="62.4" customHeight="1" x14ac:dyDescent="0.3">
      <c r="A67" s="77">
        <v>32</v>
      </c>
      <c r="B67" s="73"/>
      <c r="C67" s="8"/>
      <c r="D67" s="1"/>
      <c r="E67" s="78"/>
      <c r="F67" s="78"/>
      <c r="G67" s="78"/>
      <c r="H67" s="78"/>
      <c r="I67" s="78"/>
      <c r="J67" s="78"/>
      <c r="K67" s="3"/>
      <c r="L67" s="78"/>
      <c r="M67" s="78"/>
      <c r="N67" s="78"/>
      <c r="O67" s="78"/>
    </row>
    <row r="68" spans="1:15" ht="62.4" customHeight="1" x14ac:dyDescent="0.3">
      <c r="A68" s="77"/>
      <c r="B68" s="73"/>
      <c r="C68" s="8"/>
      <c r="D68" s="7"/>
      <c r="E68" s="78"/>
      <c r="F68" s="78"/>
      <c r="G68" s="78"/>
      <c r="H68" s="78"/>
      <c r="I68" s="78"/>
      <c r="J68" s="78"/>
      <c r="K68" s="3"/>
      <c r="L68" s="78"/>
      <c r="M68" s="78"/>
      <c r="N68" s="78"/>
      <c r="O68" s="78"/>
    </row>
    <row r="69" spans="1:15" ht="62.4" customHeight="1" x14ac:dyDescent="0.3">
      <c r="A69" s="77">
        <v>33</v>
      </c>
      <c r="B69" s="73"/>
      <c r="C69" s="8"/>
      <c r="D69" s="1"/>
      <c r="E69" s="78"/>
      <c r="F69" s="78"/>
      <c r="G69" s="78"/>
      <c r="H69" s="78"/>
      <c r="I69" s="78"/>
      <c r="J69" s="78"/>
      <c r="K69" s="3"/>
      <c r="L69" s="78"/>
      <c r="M69" s="78"/>
      <c r="N69" s="78"/>
      <c r="O69" s="78"/>
    </row>
    <row r="70" spans="1:15" ht="62.4" customHeight="1" x14ac:dyDescent="0.3">
      <c r="A70" s="77"/>
      <c r="B70" s="73"/>
      <c r="C70" s="8"/>
      <c r="D70" s="7"/>
      <c r="E70" s="78"/>
      <c r="F70" s="78"/>
      <c r="G70" s="78"/>
      <c r="H70" s="78"/>
      <c r="I70" s="78"/>
      <c r="J70" s="78"/>
      <c r="K70" s="3"/>
      <c r="L70" s="78"/>
      <c r="M70" s="78"/>
      <c r="N70" s="78"/>
      <c r="O70" s="78"/>
    </row>
    <row r="71" spans="1:15" ht="62.4" customHeight="1" x14ac:dyDescent="0.3">
      <c r="A71" s="77">
        <v>34</v>
      </c>
      <c r="B71" s="73"/>
      <c r="C71" s="8"/>
      <c r="D71" s="1"/>
      <c r="E71" s="78"/>
      <c r="F71" s="78"/>
      <c r="G71" s="78"/>
      <c r="H71" s="78"/>
      <c r="I71" s="78"/>
      <c r="J71" s="78"/>
      <c r="K71" s="3"/>
      <c r="L71" s="78"/>
      <c r="M71" s="78"/>
      <c r="N71" s="78"/>
      <c r="O71" s="78"/>
    </row>
    <row r="72" spans="1:15" ht="62.4" customHeight="1" x14ac:dyDescent="0.3">
      <c r="A72" s="77"/>
      <c r="B72" s="73"/>
      <c r="C72" s="8"/>
      <c r="D72" s="7"/>
      <c r="E72" s="78"/>
      <c r="F72" s="78"/>
      <c r="G72" s="78"/>
      <c r="H72" s="78"/>
      <c r="I72" s="78"/>
      <c r="J72" s="78"/>
      <c r="K72" s="3"/>
      <c r="L72" s="78"/>
      <c r="M72" s="78"/>
      <c r="N72" s="78"/>
      <c r="O72" s="78"/>
    </row>
    <row r="73" spans="1:15" ht="62.4" customHeight="1" x14ac:dyDescent="0.3">
      <c r="A73" s="77">
        <v>35</v>
      </c>
      <c r="B73" s="73"/>
      <c r="C73" s="8"/>
      <c r="D73" s="1"/>
      <c r="E73" s="78"/>
      <c r="F73" s="78"/>
      <c r="G73" s="78"/>
      <c r="H73" s="78"/>
      <c r="I73" s="78"/>
      <c r="J73" s="78"/>
      <c r="K73" s="3"/>
      <c r="L73" s="78"/>
      <c r="M73" s="78"/>
      <c r="N73" s="78"/>
      <c r="O73" s="78"/>
    </row>
    <row r="74" spans="1:15" ht="62.4" customHeight="1" x14ac:dyDescent="0.3">
      <c r="A74" s="77"/>
      <c r="B74" s="73"/>
      <c r="C74" s="8"/>
      <c r="D74" s="7"/>
      <c r="E74" s="78"/>
      <c r="F74" s="78"/>
      <c r="G74" s="78"/>
      <c r="H74" s="78"/>
      <c r="I74" s="78"/>
      <c r="J74" s="78"/>
      <c r="K74" s="3"/>
      <c r="L74" s="78"/>
      <c r="M74" s="78"/>
      <c r="N74" s="78"/>
      <c r="O74" s="78"/>
    </row>
    <row r="75" spans="1:15" ht="62.4" customHeight="1" x14ac:dyDescent="0.3">
      <c r="A75" s="77">
        <v>36</v>
      </c>
      <c r="B75" s="73"/>
      <c r="C75" s="8"/>
      <c r="D75" s="1"/>
      <c r="E75" s="78"/>
      <c r="F75" s="78"/>
      <c r="G75" s="78"/>
      <c r="H75" s="78"/>
      <c r="I75" s="78"/>
      <c r="J75" s="78"/>
      <c r="K75" s="3"/>
      <c r="L75" s="78"/>
      <c r="M75" s="78"/>
      <c r="N75" s="78"/>
      <c r="O75" s="78"/>
    </row>
    <row r="76" spans="1:15" ht="62.4" customHeight="1" x14ac:dyDescent="0.3">
      <c r="A76" s="77"/>
      <c r="B76" s="73"/>
      <c r="C76" s="8"/>
      <c r="D76" s="7"/>
      <c r="E76" s="78"/>
      <c r="F76" s="78"/>
      <c r="G76" s="78"/>
      <c r="H76" s="78"/>
      <c r="I76" s="78"/>
      <c r="J76" s="78"/>
      <c r="K76" s="3"/>
      <c r="L76" s="78"/>
      <c r="M76" s="78"/>
      <c r="N76" s="78"/>
      <c r="O76" s="78"/>
    </row>
    <row r="77" spans="1:15" ht="62.4" customHeight="1" x14ac:dyDescent="0.3">
      <c r="A77" s="77">
        <v>37</v>
      </c>
      <c r="B77" s="73"/>
      <c r="C77" s="8"/>
      <c r="D77" s="1"/>
      <c r="E77" s="78"/>
      <c r="F77" s="78"/>
      <c r="G77" s="78"/>
      <c r="H77" s="78"/>
      <c r="I77" s="78"/>
      <c r="J77" s="78"/>
      <c r="K77" s="3"/>
      <c r="L77" s="78"/>
      <c r="M77" s="78"/>
      <c r="N77" s="78"/>
      <c r="O77" s="78"/>
    </row>
    <row r="78" spans="1:15" ht="62.4" customHeight="1" x14ac:dyDescent="0.3">
      <c r="A78" s="77"/>
      <c r="B78" s="73"/>
      <c r="C78" s="8"/>
      <c r="D78" s="7"/>
      <c r="E78" s="78"/>
      <c r="F78" s="78"/>
      <c r="G78" s="78"/>
      <c r="H78" s="78"/>
      <c r="I78" s="78"/>
      <c r="J78" s="78"/>
      <c r="K78" s="3"/>
      <c r="L78" s="78"/>
      <c r="M78" s="78"/>
      <c r="N78" s="78"/>
      <c r="O78" s="78"/>
    </row>
    <row r="79" spans="1:15" ht="62.4" customHeight="1" x14ac:dyDescent="0.3">
      <c r="A79" s="77">
        <v>38</v>
      </c>
      <c r="B79" s="73"/>
      <c r="C79" s="8"/>
      <c r="D79" s="1"/>
      <c r="E79" s="78"/>
      <c r="F79" s="78"/>
      <c r="G79" s="78"/>
      <c r="H79" s="78"/>
      <c r="I79" s="78"/>
      <c r="J79" s="78"/>
      <c r="K79" s="3"/>
      <c r="L79" s="78"/>
      <c r="M79" s="78"/>
      <c r="N79" s="78"/>
      <c r="O79" s="78"/>
    </row>
    <row r="80" spans="1:15" ht="62.4" customHeight="1" x14ac:dyDescent="0.3">
      <c r="A80" s="77"/>
      <c r="B80" s="73"/>
      <c r="C80" s="8"/>
      <c r="D80" s="7"/>
      <c r="E80" s="78"/>
      <c r="F80" s="78"/>
      <c r="G80" s="78"/>
      <c r="H80" s="78"/>
      <c r="I80" s="78"/>
      <c r="J80" s="78"/>
      <c r="K80" s="3"/>
      <c r="L80" s="78"/>
      <c r="M80" s="78"/>
      <c r="N80" s="78"/>
      <c r="O80" s="78"/>
    </row>
    <row r="81" spans="1:15" ht="62.4" customHeight="1" x14ac:dyDescent="0.3">
      <c r="A81" s="77">
        <v>39</v>
      </c>
      <c r="B81" s="73"/>
      <c r="C81" s="8"/>
      <c r="D81" s="1"/>
      <c r="E81" s="78"/>
      <c r="F81" s="78"/>
      <c r="G81" s="78"/>
      <c r="H81" s="78"/>
      <c r="I81" s="78"/>
      <c r="J81" s="78"/>
      <c r="K81" s="3"/>
      <c r="L81" s="78"/>
      <c r="M81" s="78"/>
      <c r="N81" s="78"/>
      <c r="O81" s="78"/>
    </row>
    <row r="82" spans="1:15" ht="62.4" customHeight="1" x14ac:dyDescent="0.3">
      <c r="A82" s="77"/>
      <c r="B82" s="73"/>
      <c r="C82" s="8"/>
      <c r="D82" s="7"/>
      <c r="E82" s="78"/>
      <c r="F82" s="78"/>
      <c r="G82" s="78"/>
      <c r="H82" s="78"/>
      <c r="I82" s="78"/>
      <c r="J82" s="78"/>
      <c r="K82" s="3"/>
      <c r="L82" s="78"/>
      <c r="M82" s="78"/>
      <c r="N82" s="78"/>
      <c r="O82" s="78"/>
    </row>
    <row r="83" spans="1:15" ht="62.4" customHeight="1" x14ac:dyDescent="0.3">
      <c r="A83" s="77">
        <v>40</v>
      </c>
      <c r="B83" s="73"/>
      <c r="C83" s="8"/>
      <c r="D83" s="1"/>
      <c r="E83" s="78"/>
      <c r="F83" s="78"/>
      <c r="G83" s="78"/>
      <c r="H83" s="78"/>
      <c r="I83" s="78"/>
      <c r="J83" s="78"/>
      <c r="K83" s="3"/>
      <c r="L83" s="78"/>
      <c r="M83" s="78"/>
      <c r="N83" s="78"/>
      <c r="O83" s="78"/>
    </row>
    <row r="84" spans="1:15" ht="62.4" customHeight="1" x14ac:dyDescent="0.3">
      <c r="A84" s="77"/>
      <c r="B84" s="73"/>
      <c r="C84" s="8"/>
      <c r="D84" s="7"/>
      <c r="E84" s="78"/>
      <c r="F84" s="78"/>
      <c r="G84" s="78"/>
      <c r="H84" s="78"/>
      <c r="I84" s="78"/>
      <c r="J84" s="78"/>
      <c r="K84" s="3"/>
      <c r="L84" s="78"/>
      <c r="M84" s="78"/>
      <c r="N84" s="78"/>
      <c r="O84" s="78"/>
    </row>
    <row r="85" spans="1:15" x14ac:dyDescent="0.3">
      <c r="A85" s="77">
        <v>41</v>
      </c>
      <c r="B85" s="73"/>
      <c r="C85" s="8"/>
      <c r="D85" s="1"/>
      <c r="E85" s="78"/>
      <c r="F85" s="78"/>
      <c r="G85" s="78"/>
      <c r="H85" s="78"/>
      <c r="I85" s="78"/>
      <c r="J85" s="78"/>
      <c r="K85" s="3"/>
      <c r="L85" s="78"/>
      <c r="M85" s="78"/>
      <c r="N85" s="78"/>
      <c r="O85" s="78"/>
    </row>
    <row r="86" spans="1:15" x14ac:dyDescent="0.3">
      <c r="A86" s="77"/>
      <c r="B86" s="73"/>
      <c r="C86" s="8"/>
      <c r="D86" s="7"/>
      <c r="E86" s="78"/>
      <c r="F86" s="78"/>
      <c r="G86" s="78"/>
      <c r="H86" s="78"/>
      <c r="I86" s="78"/>
      <c r="J86" s="78"/>
      <c r="K86" s="3"/>
      <c r="L86" s="78"/>
      <c r="M86" s="78"/>
      <c r="N86" s="78"/>
      <c r="O86" s="78"/>
    </row>
    <row r="87" spans="1:15" x14ac:dyDescent="0.3">
      <c r="A87" s="77">
        <v>42</v>
      </c>
      <c r="B87" s="73"/>
      <c r="C87" s="8"/>
      <c r="D87" s="1"/>
      <c r="E87" s="78"/>
      <c r="F87" s="78"/>
      <c r="G87" s="78"/>
      <c r="H87" s="78"/>
      <c r="I87" s="78"/>
      <c r="J87" s="78"/>
      <c r="K87" s="3"/>
      <c r="L87" s="78"/>
      <c r="M87" s="78"/>
      <c r="N87" s="78"/>
      <c r="O87" s="78"/>
    </row>
    <row r="88" spans="1:15" x14ac:dyDescent="0.3">
      <c r="A88" s="77"/>
      <c r="B88" s="73"/>
      <c r="C88" s="8"/>
      <c r="D88" s="7"/>
      <c r="E88" s="78"/>
      <c r="F88" s="78"/>
      <c r="G88" s="78"/>
      <c r="H88" s="78"/>
      <c r="I88" s="78"/>
      <c r="J88" s="78"/>
      <c r="K88" s="3"/>
      <c r="L88" s="78"/>
      <c r="M88" s="78"/>
      <c r="N88" s="78"/>
      <c r="O88" s="78"/>
    </row>
    <row r="89" spans="1:15" x14ac:dyDescent="0.3">
      <c r="D89" s="1"/>
    </row>
    <row r="90" spans="1:15" x14ac:dyDescent="0.3">
      <c r="D90" s="1"/>
    </row>
    <row r="91" spans="1:15" x14ac:dyDescent="0.3">
      <c r="D91" s="1"/>
    </row>
    <row r="92" spans="1:15" x14ac:dyDescent="0.3">
      <c r="D92" s="1"/>
    </row>
    <row r="93" spans="1:15" x14ac:dyDescent="0.3">
      <c r="D93" s="1"/>
    </row>
    <row r="94" spans="1:15" x14ac:dyDescent="0.3">
      <c r="D94" s="1"/>
    </row>
    <row r="95" spans="1:15" x14ac:dyDescent="0.3">
      <c r="D95" s="1"/>
    </row>
    <row r="96" spans="1:15" x14ac:dyDescent="0.3">
      <c r="D96" s="1"/>
    </row>
    <row r="97" spans="4:4" x14ac:dyDescent="0.3">
      <c r="D97" s="1"/>
    </row>
    <row r="98" spans="4:4" x14ac:dyDescent="0.3">
      <c r="D98" s="1"/>
    </row>
    <row r="99" spans="4:4" x14ac:dyDescent="0.3">
      <c r="D99" s="1"/>
    </row>
    <row r="100" spans="4:4" x14ac:dyDescent="0.3">
      <c r="D100" s="1"/>
    </row>
    <row r="101" spans="4:4" x14ac:dyDescent="0.3">
      <c r="D101" s="1"/>
    </row>
    <row r="102" spans="4:4" x14ac:dyDescent="0.3">
      <c r="D102" s="1"/>
    </row>
    <row r="103" spans="4:4" x14ac:dyDescent="0.3">
      <c r="D103" s="1"/>
    </row>
    <row r="104" spans="4:4" x14ac:dyDescent="0.3">
      <c r="D104" s="1"/>
    </row>
    <row r="105" spans="4:4" x14ac:dyDescent="0.3">
      <c r="D105" s="1"/>
    </row>
    <row r="106" spans="4:4" x14ac:dyDescent="0.3">
      <c r="D106" s="1"/>
    </row>
    <row r="107" spans="4:4" x14ac:dyDescent="0.3">
      <c r="D107" s="1"/>
    </row>
    <row r="108" spans="4:4" x14ac:dyDescent="0.3">
      <c r="D108" s="1"/>
    </row>
    <row r="109" spans="4:4" x14ac:dyDescent="0.3">
      <c r="D109" s="1"/>
    </row>
    <row r="110" spans="4:4" x14ac:dyDescent="0.3">
      <c r="D110" s="1"/>
    </row>
    <row r="111" spans="4:4" x14ac:dyDescent="0.3">
      <c r="D111" s="1"/>
    </row>
    <row r="112" spans="4:4" x14ac:dyDescent="0.3">
      <c r="D112" s="1"/>
    </row>
    <row r="113" spans="4:4" x14ac:dyDescent="0.3">
      <c r="D113" s="1"/>
    </row>
    <row r="115" spans="4:4" x14ac:dyDescent="0.3">
      <c r="D115" s="1"/>
    </row>
    <row r="116" spans="4:4" x14ac:dyDescent="0.3">
      <c r="D116" s="1"/>
    </row>
    <row r="117" spans="4:4" x14ac:dyDescent="0.3">
      <c r="D117" s="1"/>
    </row>
    <row r="118" spans="4:4" x14ac:dyDescent="0.3">
      <c r="D118" s="1"/>
    </row>
    <row r="119" spans="4:4" x14ac:dyDescent="0.3">
      <c r="D119" s="1"/>
    </row>
    <row r="120" spans="4:4" x14ac:dyDescent="0.3">
      <c r="D120" s="1"/>
    </row>
    <row r="121" spans="4:4" x14ac:dyDescent="0.3">
      <c r="D121" s="1"/>
    </row>
    <row r="122" spans="4:4" x14ac:dyDescent="0.3">
      <c r="D122" s="1"/>
    </row>
    <row r="123" spans="4:4" x14ac:dyDescent="0.3">
      <c r="D123" s="1"/>
    </row>
    <row r="124" spans="4:4" x14ac:dyDescent="0.3">
      <c r="D124" s="1"/>
    </row>
  </sheetData>
  <mergeCells count="535">
    <mergeCell ref="E5:E6"/>
    <mergeCell ref="F5:F6"/>
    <mergeCell ref="C3:C4"/>
    <mergeCell ref="M85:M86"/>
    <mergeCell ref="N85:N86"/>
    <mergeCell ref="O85:O86"/>
    <mergeCell ref="A87:A88"/>
    <mergeCell ref="B87:B88"/>
    <mergeCell ref="E87:E88"/>
    <mergeCell ref="F87:F88"/>
    <mergeCell ref="G87:G88"/>
    <mergeCell ref="H87:H88"/>
    <mergeCell ref="I87:I88"/>
    <mergeCell ref="J87:J88"/>
    <mergeCell ref="L87:L88"/>
    <mergeCell ref="M87:M88"/>
    <mergeCell ref="N87:N88"/>
    <mergeCell ref="O87:O88"/>
    <mergeCell ref="A85:A86"/>
    <mergeCell ref="B85:B86"/>
    <mergeCell ref="E85:E86"/>
    <mergeCell ref="F85:F86"/>
    <mergeCell ref="G85:G86"/>
    <mergeCell ref="H85:H86"/>
    <mergeCell ref="I85:I86"/>
    <mergeCell ref="J85:J86"/>
    <mergeCell ref="L85:L86"/>
    <mergeCell ref="M81:M82"/>
    <mergeCell ref="N81:N82"/>
    <mergeCell ref="O81:O82"/>
    <mergeCell ref="A83:A84"/>
    <mergeCell ref="B83:B84"/>
    <mergeCell ref="E83:E84"/>
    <mergeCell ref="F83:F84"/>
    <mergeCell ref="G83:G84"/>
    <mergeCell ref="H83:H84"/>
    <mergeCell ref="I83:I84"/>
    <mergeCell ref="J83:J84"/>
    <mergeCell ref="L83:L84"/>
    <mergeCell ref="M83:M84"/>
    <mergeCell ref="N83:N84"/>
    <mergeCell ref="O83:O84"/>
    <mergeCell ref="A81:A82"/>
    <mergeCell ref="B81:B82"/>
    <mergeCell ref="E81:E82"/>
    <mergeCell ref="F81:F82"/>
    <mergeCell ref="G81:G82"/>
    <mergeCell ref="H81:H82"/>
    <mergeCell ref="I81:I82"/>
    <mergeCell ref="J81:J82"/>
    <mergeCell ref="L81:L82"/>
    <mergeCell ref="M77:M78"/>
    <mergeCell ref="N77:N78"/>
    <mergeCell ref="O77:O78"/>
    <mergeCell ref="A79:A80"/>
    <mergeCell ref="B79:B80"/>
    <mergeCell ref="E79:E80"/>
    <mergeCell ref="F79:F80"/>
    <mergeCell ref="G79:G80"/>
    <mergeCell ref="H79:H80"/>
    <mergeCell ref="I79:I80"/>
    <mergeCell ref="J79:J80"/>
    <mergeCell ref="L79:L80"/>
    <mergeCell ref="M79:M80"/>
    <mergeCell ref="N79:N80"/>
    <mergeCell ref="O79:O80"/>
    <mergeCell ref="A77:A78"/>
    <mergeCell ref="B77:B78"/>
    <mergeCell ref="E77:E78"/>
    <mergeCell ref="F77:F78"/>
    <mergeCell ref="G77:G78"/>
    <mergeCell ref="H77:H78"/>
    <mergeCell ref="I77:I78"/>
    <mergeCell ref="J77:J78"/>
    <mergeCell ref="L77:L78"/>
    <mergeCell ref="M73:M74"/>
    <mergeCell ref="N73:N74"/>
    <mergeCell ref="O73:O74"/>
    <mergeCell ref="A75:A76"/>
    <mergeCell ref="B75:B76"/>
    <mergeCell ref="E75:E76"/>
    <mergeCell ref="F75:F76"/>
    <mergeCell ref="G75:G76"/>
    <mergeCell ref="H75:H76"/>
    <mergeCell ref="I75:I76"/>
    <mergeCell ref="J75:J76"/>
    <mergeCell ref="L75:L76"/>
    <mergeCell ref="M75:M76"/>
    <mergeCell ref="N75:N76"/>
    <mergeCell ref="O75:O76"/>
    <mergeCell ref="A73:A74"/>
    <mergeCell ref="B73:B74"/>
    <mergeCell ref="E73:E74"/>
    <mergeCell ref="F73:F74"/>
    <mergeCell ref="G73:G74"/>
    <mergeCell ref="H73:H74"/>
    <mergeCell ref="I73:I74"/>
    <mergeCell ref="J73:J74"/>
    <mergeCell ref="L73:L74"/>
    <mergeCell ref="M69:M70"/>
    <mergeCell ref="N69:N70"/>
    <mergeCell ref="O69:O70"/>
    <mergeCell ref="A71:A72"/>
    <mergeCell ref="B71:B72"/>
    <mergeCell ref="E71:E72"/>
    <mergeCell ref="F71:F72"/>
    <mergeCell ref="G71:G72"/>
    <mergeCell ref="H71:H72"/>
    <mergeCell ref="I71:I72"/>
    <mergeCell ref="J71:J72"/>
    <mergeCell ref="L71:L72"/>
    <mergeCell ref="M71:M72"/>
    <mergeCell ref="N71:N72"/>
    <mergeCell ref="O71:O72"/>
    <mergeCell ref="A69:A70"/>
    <mergeCell ref="B69:B70"/>
    <mergeCell ref="E69:E70"/>
    <mergeCell ref="F69:F70"/>
    <mergeCell ref="G69:G70"/>
    <mergeCell ref="H69:H70"/>
    <mergeCell ref="I69:I70"/>
    <mergeCell ref="J69:J70"/>
    <mergeCell ref="L69:L70"/>
    <mergeCell ref="M65:M66"/>
    <mergeCell ref="N65:N66"/>
    <mergeCell ref="O65:O66"/>
    <mergeCell ref="A67:A68"/>
    <mergeCell ref="B67:B68"/>
    <mergeCell ref="E67:E68"/>
    <mergeCell ref="F67:F68"/>
    <mergeCell ref="G67:G68"/>
    <mergeCell ref="H67:H68"/>
    <mergeCell ref="I67:I68"/>
    <mergeCell ref="J67:J68"/>
    <mergeCell ref="L67:L68"/>
    <mergeCell ref="M67:M68"/>
    <mergeCell ref="N67:N68"/>
    <mergeCell ref="O67:O68"/>
    <mergeCell ref="A65:A66"/>
    <mergeCell ref="B65:B66"/>
    <mergeCell ref="E65:E66"/>
    <mergeCell ref="F65:F66"/>
    <mergeCell ref="G65:G66"/>
    <mergeCell ref="H65:H66"/>
    <mergeCell ref="I65:I66"/>
    <mergeCell ref="J65:J66"/>
    <mergeCell ref="L65:L66"/>
    <mergeCell ref="M61:M62"/>
    <mergeCell ref="N61:N62"/>
    <mergeCell ref="O61:O62"/>
    <mergeCell ref="A63:A64"/>
    <mergeCell ref="B63:B64"/>
    <mergeCell ref="E63:E64"/>
    <mergeCell ref="F63:F64"/>
    <mergeCell ref="G63:G64"/>
    <mergeCell ref="H63:H64"/>
    <mergeCell ref="I63:I64"/>
    <mergeCell ref="J63:J64"/>
    <mergeCell ref="L63:L64"/>
    <mergeCell ref="M63:M64"/>
    <mergeCell ref="N63:N64"/>
    <mergeCell ref="O63:O64"/>
    <mergeCell ref="A61:A62"/>
    <mergeCell ref="B61:B62"/>
    <mergeCell ref="E61:E62"/>
    <mergeCell ref="F61:F62"/>
    <mergeCell ref="G61:G62"/>
    <mergeCell ref="H61:H62"/>
    <mergeCell ref="M59:M60"/>
    <mergeCell ref="N59:N60"/>
    <mergeCell ref="O59:O60"/>
    <mergeCell ref="A57:A58"/>
    <mergeCell ref="B57:B58"/>
    <mergeCell ref="E57:E58"/>
    <mergeCell ref="F57:F58"/>
    <mergeCell ref="G57:G58"/>
    <mergeCell ref="H57:H58"/>
    <mergeCell ref="A53:A54"/>
    <mergeCell ref="B53:B54"/>
    <mergeCell ref="E53:E54"/>
    <mergeCell ref="F53:F54"/>
    <mergeCell ref="G53:G54"/>
    <mergeCell ref="H53:H54"/>
    <mergeCell ref="I61:I62"/>
    <mergeCell ref="J61:J62"/>
    <mergeCell ref="L61:L62"/>
    <mergeCell ref="A59:A60"/>
    <mergeCell ref="B59:B60"/>
    <mergeCell ref="E59:E60"/>
    <mergeCell ref="F59:F60"/>
    <mergeCell ref="G59:G60"/>
    <mergeCell ref="H59:H60"/>
    <mergeCell ref="I59:I60"/>
    <mergeCell ref="J59:J60"/>
    <mergeCell ref="L59:L60"/>
    <mergeCell ref="A55:A56"/>
    <mergeCell ref="B55:B56"/>
    <mergeCell ref="E55:E56"/>
    <mergeCell ref="F55:F56"/>
    <mergeCell ref="G55:G56"/>
    <mergeCell ref="H55:H56"/>
    <mergeCell ref="I55:I56"/>
    <mergeCell ref="J55:J56"/>
    <mergeCell ref="L55:L56"/>
    <mergeCell ref="I49:I50"/>
    <mergeCell ref="J49:J50"/>
    <mergeCell ref="L49:L50"/>
    <mergeCell ref="M49:M50"/>
    <mergeCell ref="N49:N50"/>
    <mergeCell ref="O49:O50"/>
    <mergeCell ref="I57:I58"/>
    <mergeCell ref="J57:J58"/>
    <mergeCell ref="L57:L58"/>
    <mergeCell ref="M53:M54"/>
    <mergeCell ref="N53:N54"/>
    <mergeCell ref="O53:O54"/>
    <mergeCell ref="M55:M56"/>
    <mergeCell ref="N55:N56"/>
    <mergeCell ref="O55:O56"/>
    <mergeCell ref="M57:M58"/>
    <mergeCell ref="N57:N58"/>
    <mergeCell ref="O57:O58"/>
    <mergeCell ref="I51:I52"/>
    <mergeCell ref="J51:J52"/>
    <mergeCell ref="L51:L52"/>
    <mergeCell ref="M51:M52"/>
    <mergeCell ref="N51:N52"/>
    <mergeCell ref="O51:O52"/>
    <mergeCell ref="I53:I54"/>
    <mergeCell ref="J53:J54"/>
    <mergeCell ref="L53:L54"/>
    <mergeCell ref="I45:I46"/>
    <mergeCell ref="J45:J46"/>
    <mergeCell ref="L45:L46"/>
    <mergeCell ref="M45:M46"/>
    <mergeCell ref="N45:N46"/>
    <mergeCell ref="O45:O46"/>
    <mergeCell ref="F47:F48"/>
    <mergeCell ref="G47:G48"/>
    <mergeCell ref="H47:H48"/>
    <mergeCell ref="I47:I48"/>
    <mergeCell ref="J47:J48"/>
    <mergeCell ref="L47:L48"/>
    <mergeCell ref="M47:M48"/>
    <mergeCell ref="N47:N48"/>
    <mergeCell ref="O47:O48"/>
    <mergeCell ref="I41:I42"/>
    <mergeCell ref="J41:J42"/>
    <mergeCell ref="L41:L42"/>
    <mergeCell ref="M41:M42"/>
    <mergeCell ref="N41:N42"/>
    <mergeCell ref="O41:O42"/>
    <mergeCell ref="F43:F44"/>
    <mergeCell ref="G43:G44"/>
    <mergeCell ref="H43:H44"/>
    <mergeCell ref="I43:I44"/>
    <mergeCell ref="J43:J44"/>
    <mergeCell ref="L43:L44"/>
    <mergeCell ref="M43:M44"/>
    <mergeCell ref="N43:N44"/>
    <mergeCell ref="O43:O44"/>
    <mergeCell ref="E41:E42"/>
    <mergeCell ref="E43:E44"/>
    <mergeCell ref="E45:E46"/>
    <mergeCell ref="E47:E48"/>
    <mergeCell ref="E49:E50"/>
    <mergeCell ref="E51:E52"/>
    <mergeCell ref="F41:F42"/>
    <mergeCell ref="G41:G42"/>
    <mergeCell ref="H41:H42"/>
    <mergeCell ref="F45:F46"/>
    <mergeCell ref="G45:G46"/>
    <mergeCell ref="H45:H46"/>
    <mergeCell ref="F49:F50"/>
    <mergeCell ref="G49:G50"/>
    <mergeCell ref="H49:H50"/>
    <mergeCell ref="F51:F52"/>
    <mergeCell ref="G51:G52"/>
    <mergeCell ref="H51:H52"/>
    <mergeCell ref="A41:A42"/>
    <mergeCell ref="A43:A44"/>
    <mergeCell ref="A45:A46"/>
    <mergeCell ref="A47:A48"/>
    <mergeCell ref="A49:A50"/>
    <mergeCell ref="A51:A52"/>
    <mergeCell ref="B41:B42"/>
    <mergeCell ref="B43:B44"/>
    <mergeCell ref="B45:B46"/>
    <mergeCell ref="B47:B48"/>
    <mergeCell ref="B49:B50"/>
    <mergeCell ref="B51:B52"/>
    <mergeCell ref="F11:F12"/>
    <mergeCell ref="G11:G12"/>
    <mergeCell ref="H11:H12"/>
    <mergeCell ref="I11:I12"/>
    <mergeCell ref="J11:J12"/>
    <mergeCell ref="M37:M38"/>
    <mergeCell ref="N37:N38"/>
    <mergeCell ref="O37:O38"/>
    <mergeCell ref="M33:M34"/>
    <mergeCell ref="N33:N34"/>
    <mergeCell ref="O33:O34"/>
    <mergeCell ref="G35:G36"/>
    <mergeCell ref="H35:H36"/>
    <mergeCell ref="I35:I36"/>
    <mergeCell ref="J35:J36"/>
    <mergeCell ref="L35:L36"/>
    <mergeCell ref="M35:M36"/>
    <mergeCell ref="N35:N36"/>
    <mergeCell ref="O35:O36"/>
    <mergeCell ref="G33:G34"/>
    <mergeCell ref="H33:H34"/>
    <mergeCell ref="I33:I34"/>
    <mergeCell ref="J33:J34"/>
    <mergeCell ref="L33:L34"/>
    <mergeCell ref="G39:G40"/>
    <mergeCell ref="H39:H40"/>
    <mergeCell ref="I39:I40"/>
    <mergeCell ref="J39:J40"/>
    <mergeCell ref="L39:L40"/>
    <mergeCell ref="M39:M40"/>
    <mergeCell ref="N39:N40"/>
    <mergeCell ref="O39:O40"/>
    <mergeCell ref="G37:G38"/>
    <mergeCell ref="H37:H38"/>
    <mergeCell ref="I37:I38"/>
    <mergeCell ref="J37:J38"/>
    <mergeCell ref="L37:L38"/>
    <mergeCell ref="M29:M30"/>
    <mergeCell ref="N29:N30"/>
    <mergeCell ref="O29:O30"/>
    <mergeCell ref="G31:G32"/>
    <mergeCell ref="H31:H32"/>
    <mergeCell ref="I31:I32"/>
    <mergeCell ref="J31:J32"/>
    <mergeCell ref="L31:L32"/>
    <mergeCell ref="M31:M32"/>
    <mergeCell ref="N31:N32"/>
    <mergeCell ref="O31:O32"/>
    <mergeCell ref="G29:G30"/>
    <mergeCell ref="H29:H30"/>
    <mergeCell ref="I29:I30"/>
    <mergeCell ref="J29:J30"/>
    <mergeCell ref="L29:L30"/>
    <mergeCell ref="M25:M26"/>
    <mergeCell ref="N25:N26"/>
    <mergeCell ref="O25:O26"/>
    <mergeCell ref="G27:G28"/>
    <mergeCell ref="H27:H28"/>
    <mergeCell ref="I27:I28"/>
    <mergeCell ref="J27:J28"/>
    <mergeCell ref="L27:L28"/>
    <mergeCell ref="M27:M28"/>
    <mergeCell ref="N27:N28"/>
    <mergeCell ref="O27:O28"/>
    <mergeCell ref="G25:G26"/>
    <mergeCell ref="H25:H26"/>
    <mergeCell ref="I25:I26"/>
    <mergeCell ref="J25:J26"/>
    <mergeCell ref="L25:L26"/>
    <mergeCell ref="M21:M22"/>
    <mergeCell ref="N21:N22"/>
    <mergeCell ref="O21:O22"/>
    <mergeCell ref="G23:G24"/>
    <mergeCell ref="H23:H24"/>
    <mergeCell ref="I23:I24"/>
    <mergeCell ref="J23:J24"/>
    <mergeCell ref="L23:L24"/>
    <mergeCell ref="M23:M24"/>
    <mergeCell ref="N23:N24"/>
    <mergeCell ref="O23:O24"/>
    <mergeCell ref="G21:G22"/>
    <mergeCell ref="H21:H22"/>
    <mergeCell ref="I21:I22"/>
    <mergeCell ref="J21:J22"/>
    <mergeCell ref="L21:L22"/>
    <mergeCell ref="M17:M18"/>
    <mergeCell ref="N17:N18"/>
    <mergeCell ref="O17:O18"/>
    <mergeCell ref="G19:G20"/>
    <mergeCell ref="H19:H20"/>
    <mergeCell ref="I19:I20"/>
    <mergeCell ref="J19:J20"/>
    <mergeCell ref="L19:L20"/>
    <mergeCell ref="M19:M20"/>
    <mergeCell ref="N19:N20"/>
    <mergeCell ref="O19:O20"/>
    <mergeCell ref="G17:G18"/>
    <mergeCell ref="H17:H18"/>
    <mergeCell ref="I17:I18"/>
    <mergeCell ref="J17:J18"/>
    <mergeCell ref="L17:L18"/>
    <mergeCell ref="L15:L16"/>
    <mergeCell ref="M15:M16"/>
    <mergeCell ref="N15:N16"/>
    <mergeCell ref="O15:O16"/>
    <mergeCell ref="M9:M10"/>
    <mergeCell ref="O11:O12"/>
    <mergeCell ref="G13:G14"/>
    <mergeCell ref="H13:H14"/>
    <mergeCell ref="I13:I14"/>
    <mergeCell ref="J13:J14"/>
    <mergeCell ref="L13:L14"/>
    <mergeCell ref="M13:M14"/>
    <mergeCell ref="N13:N14"/>
    <mergeCell ref="O13:O14"/>
    <mergeCell ref="N9:N10"/>
    <mergeCell ref="O9:O10"/>
    <mergeCell ref="L11:L12"/>
    <mergeCell ref="M11:M12"/>
    <mergeCell ref="N11:N12"/>
    <mergeCell ref="G9:G10"/>
    <mergeCell ref="G5:G6"/>
    <mergeCell ref="H5:H6"/>
    <mergeCell ref="I5:I6"/>
    <mergeCell ref="J5:J6"/>
    <mergeCell ref="L5:L6"/>
    <mergeCell ref="N7:N8"/>
    <mergeCell ref="O7:O8"/>
    <mergeCell ref="F31:F32"/>
    <mergeCell ref="F33:F34"/>
    <mergeCell ref="H9:H10"/>
    <mergeCell ref="I9:I10"/>
    <mergeCell ref="J9:J10"/>
    <mergeCell ref="L9:L10"/>
    <mergeCell ref="M5:M6"/>
    <mergeCell ref="N5:N6"/>
    <mergeCell ref="O5:O6"/>
    <mergeCell ref="I7:I8"/>
    <mergeCell ref="J7:J8"/>
    <mergeCell ref="L7:L8"/>
    <mergeCell ref="M7:M8"/>
    <mergeCell ref="G15:G16"/>
    <mergeCell ref="H15:H16"/>
    <mergeCell ref="I15:I16"/>
    <mergeCell ref="J15:J16"/>
    <mergeCell ref="F35:F36"/>
    <mergeCell ref="F37:F38"/>
    <mergeCell ref="F39:F40"/>
    <mergeCell ref="E35:E36"/>
    <mergeCell ref="E37:E38"/>
    <mergeCell ref="E39:E40"/>
    <mergeCell ref="F13:F14"/>
    <mergeCell ref="F15:F16"/>
    <mergeCell ref="F17:F18"/>
    <mergeCell ref="F19:F20"/>
    <mergeCell ref="F21:F22"/>
    <mergeCell ref="F23:F24"/>
    <mergeCell ref="F25:F26"/>
    <mergeCell ref="F27:F28"/>
    <mergeCell ref="F29:F30"/>
    <mergeCell ref="E25:E26"/>
    <mergeCell ref="E27:E28"/>
    <mergeCell ref="E29:E30"/>
    <mergeCell ref="E31:E32"/>
    <mergeCell ref="E33:E34"/>
    <mergeCell ref="E15:E16"/>
    <mergeCell ref="E17:E18"/>
    <mergeCell ref="E19:E20"/>
    <mergeCell ref="E21:E22"/>
    <mergeCell ref="E23:E24"/>
    <mergeCell ref="E7:E8"/>
    <mergeCell ref="E9:E10"/>
    <mergeCell ref="E13:E14"/>
    <mergeCell ref="E11:E12"/>
    <mergeCell ref="B31:B32"/>
    <mergeCell ref="B33:B34"/>
    <mergeCell ref="C21:C22"/>
    <mergeCell ref="C23:C24"/>
    <mergeCell ref="C25:C26"/>
    <mergeCell ref="C27:C28"/>
    <mergeCell ref="C29:C30"/>
    <mergeCell ref="C31:C32"/>
    <mergeCell ref="C33:C34"/>
    <mergeCell ref="B35:B36"/>
    <mergeCell ref="B37:B38"/>
    <mergeCell ref="B39:B40"/>
    <mergeCell ref="B21:B22"/>
    <mergeCell ref="B23:B24"/>
    <mergeCell ref="B25:B26"/>
    <mergeCell ref="B27:B28"/>
    <mergeCell ref="B29:B30"/>
    <mergeCell ref="A7:A8"/>
    <mergeCell ref="A9:A10"/>
    <mergeCell ref="A3:A4"/>
    <mergeCell ref="B13:B14"/>
    <mergeCell ref="B15:B16"/>
    <mergeCell ref="B17:B18"/>
    <mergeCell ref="B19:B20"/>
    <mergeCell ref="D3:D4"/>
    <mergeCell ref="B3:B4"/>
    <mergeCell ref="B7:B8"/>
    <mergeCell ref="B5:B6"/>
    <mergeCell ref="B9:B10"/>
    <mergeCell ref="C5:C6"/>
    <mergeCell ref="C7:C8"/>
    <mergeCell ref="C9:C10"/>
    <mergeCell ref="C11:C12"/>
    <mergeCell ref="C13:C14"/>
    <mergeCell ref="C15:C16"/>
    <mergeCell ref="C17:C18"/>
    <mergeCell ref="C19:C20"/>
    <mergeCell ref="J3:K3"/>
    <mergeCell ref="B11:B12"/>
    <mergeCell ref="N3:N4"/>
    <mergeCell ref="O3:O4"/>
    <mergeCell ref="A39:A40"/>
    <mergeCell ref="A37:A38"/>
    <mergeCell ref="A35:A36"/>
    <mergeCell ref="A5:A6"/>
    <mergeCell ref="A33:A34"/>
    <mergeCell ref="A31:A32"/>
    <mergeCell ref="A29:A30"/>
    <mergeCell ref="A27:A28"/>
    <mergeCell ref="A25:A26"/>
    <mergeCell ref="A23:A24"/>
    <mergeCell ref="A21:A22"/>
    <mergeCell ref="A19:A20"/>
    <mergeCell ref="A17:A18"/>
    <mergeCell ref="A15:A16"/>
    <mergeCell ref="F3:I3"/>
    <mergeCell ref="M3:M4"/>
    <mergeCell ref="L3:L4"/>
    <mergeCell ref="E3:E4"/>
    <mergeCell ref="A13:A14"/>
    <mergeCell ref="A11:A12"/>
    <mergeCell ref="C35:C36"/>
    <mergeCell ref="C37:C38"/>
    <mergeCell ref="C39:C40"/>
    <mergeCell ref="C41:C42"/>
    <mergeCell ref="C43:C44"/>
    <mergeCell ref="C45:C46"/>
    <mergeCell ref="C47:C48"/>
    <mergeCell ref="C49:C50"/>
    <mergeCell ref="C51:C52"/>
  </mergeCells>
  <hyperlinks>
    <hyperlink ref="D10" r:id="rId1" xr:uid="{1D5ABD83-D547-4468-994F-99032B4AA781}"/>
    <hyperlink ref="D14" r:id="rId2" xr:uid="{F3C8BAC4-D217-4717-B09B-6458CE8A0F36}"/>
    <hyperlink ref="D16" r:id="rId3" xr:uid="{00936CAF-4C48-4241-9B44-B5EC9437B456}"/>
    <hyperlink ref="D12" r:id="rId4" xr:uid="{D060E6E9-2235-4322-9643-8C49076C06C7}"/>
    <hyperlink ref="D50" r:id="rId5" xr:uid="{AF783BA7-270A-42BE-BEF1-E71F643B939E}"/>
    <hyperlink ref="D18" r:id="rId6" xr:uid="{062A2251-891D-469C-A420-273B58E5A1CA}"/>
  </hyperlinks>
  <pageMargins left="0.7" right="0.7" top="0.75" bottom="0.75" header="0.3" footer="0.3"/>
  <pageSetup paperSize="9" orientation="portrait"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9FE35-F6FB-4F91-9F1A-E5264F3B879C}">
  <dimension ref="A3:BF47"/>
  <sheetViews>
    <sheetView topLeftCell="A16" zoomScale="80" zoomScaleNormal="80" workbookViewId="0">
      <selection activeCell="AL39" sqref="AL39"/>
    </sheetView>
  </sheetViews>
  <sheetFormatPr defaultRowHeight="14.4" x14ac:dyDescent="0.3"/>
  <cols>
    <col min="2" max="3" width="9.5546875" customWidth="1"/>
    <col min="4" max="4" width="24.109375" customWidth="1"/>
    <col min="5" max="28" width="3.33203125" style="10" customWidth="1"/>
    <col min="29" max="29" width="4.44140625" customWidth="1"/>
    <col min="31" max="31" width="17.77734375" customWidth="1"/>
    <col min="32" max="55" width="3.44140625" customWidth="1"/>
    <col min="56" max="58" width="3.77734375" customWidth="1"/>
  </cols>
  <sheetData>
    <row r="3" spans="1:58" x14ac:dyDescent="0.3">
      <c r="E3" s="2"/>
      <c r="F3" s="2"/>
      <c r="G3" s="2" t="s">
        <v>174</v>
      </c>
      <c r="H3" s="2"/>
      <c r="I3" s="2"/>
      <c r="J3" s="2"/>
      <c r="K3" s="2" t="s">
        <v>174</v>
      </c>
      <c r="L3" s="2"/>
      <c r="M3" s="2"/>
      <c r="N3" s="2"/>
      <c r="O3" s="2"/>
      <c r="P3" s="2"/>
      <c r="Q3" s="2"/>
      <c r="R3" s="2"/>
      <c r="S3" s="2" t="s">
        <v>174</v>
      </c>
      <c r="T3" s="2" t="s">
        <v>174</v>
      </c>
      <c r="U3" s="2"/>
    </row>
    <row r="4" spans="1:58" x14ac:dyDescent="0.3">
      <c r="D4" s="13" t="s">
        <v>4</v>
      </c>
      <c r="E4" s="12" t="s">
        <v>173</v>
      </c>
      <c r="F4" s="12" t="s">
        <v>172</v>
      </c>
      <c r="G4" s="12" t="s">
        <v>171</v>
      </c>
      <c r="H4" s="19" t="s">
        <v>170</v>
      </c>
      <c r="I4" s="12" t="s">
        <v>169</v>
      </c>
      <c r="J4" s="12" t="s">
        <v>168</v>
      </c>
      <c r="K4" s="19" t="s">
        <v>167</v>
      </c>
      <c r="L4" s="12" t="s">
        <v>166</v>
      </c>
      <c r="M4" s="12" t="s">
        <v>165</v>
      </c>
      <c r="N4" s="12" t="s">
        <v>164</v>
      </c>
      <c r="O4" s="12" t="s">
        <v>163</v>
      </c>
      <c r="P4" s="12" t="s">
        <v>162</v>
      </c>
      <c r="Q4" s="12" t="s">
        <v>161</v>
      </c>
      <c r="R4" s="12" t="s">
        <v>160</v>
      </c>
      <c r="S4" s="12" t="s">
        <v>159</v>
      </c>
      <c r="T4" s="12" t="s">
        <v>158</v>
      </c>
      <c r="U4" s="19" t="s">
        <v>157</v>
      </c>
      <c r="V4" s="12" t="s">
        <v>206</v>
      </c>
      <c r="W4" s="12" t="s">
        <v>207</v>
      </c>
      <c r="X4" s="12" t="s">
        <v>208</v>
      </c>
      <c r="Y4" s="12" t="s">
        <v>209</v>
      </c>
      <c r="Z4" s="12" t="s">
        <v>210</v>
      </c>
      <c r="AA4" s="12" t="s">
        <v>211</v>
      </c>
      <c r="AB4" s="12" t="s">
        <v>212</v>
      </c>
      <c r="AC4" s="17" t="s">
        <v>175</v>
      </c>
      <c r="AE4" s="24"/>
      <c r="AF4" s="35" t="s">
        <v>173</v>
      </c>
      <c r="AG4" s="25" t="s">
        <v>172</v>
      </c>
      <c r="AH4" s="25" t="s">
        <v>171</v>
      </c>
      <c r="AI4" s="25" t="s">
        <v>170</v>
      </c>
      <c r="AJ4" s="25" t="s">
        <v>169</v>
      </c>
      <c r="AK4" s="25" t="s">
        <v>168</v>
      </c>
      <c r="AL4" s="25" t="s">
        <v>167</v>
      </c>
      <c r="AM4" s="25" t="s">
        <v>166</v>
      </c>
      <c r="AN4" s="25" t="s">
        <v>165</v>
      </c>
      <c r="AO4" s="25" t="s">
        <v>164</v>
      </c>
      <c r="AP4" s="25" t="s">
        <v>163</v>
      </c>
      <c r="AQ4" s="25" t="s">
        <v>162</v>
      </c>
      <c r="AR4" s="25" t="s">
        <v>161</v>
      </c>
      <c r="AS4" s="25" t="s">
        <v>160</v>
      </c>
      <c r="AT4" s="25" t="s">
        <v>159</v>
      </c>
      <c r="AU4" s="25" t="s">
        <v>158</v>
      </c>
      <c r="AV4" s="25" t="s">
        <v>157</v>
      </c>
      <c r="AW4" s="25" t="s">
        <v>206</v>
      </c>
      <c r="AX4" s="25" t="s">
        <v>207</v>
      </c>
      <c r="AY4" s="25" t="s">
        <v>208</v>
      </c>
      <c r="AZ4" s="25" t="s">
        <v>209</v>
      </c>
      <c r="BA4" s="25" t="s">
        <v>210</v>
      </c>
      <c r="BB4" s="25" t="s">
        <v>211</v>
      </c>
      <c r="BC4" s="25" t="s">
        <v>212</v>
      </c>
      <c r="BD4" s="26" t="s">
        <v>250</v>
      </c>
      <c r="BE4" s="27" t="s">
        <v>248</v>
      </c>
      <c r="BF4" s="28" t="s">
        <v>249</v>
      </c>
    </row>
    <row r="5" spans="1:58" x14ac:dyDescent="0.3">
      <c r="A5">
        <v>1</v>
      </c>
      <c r="D5" s="46" t="s">
        <v>252</v>
      </c>
      <c r="E5" s="2" t="s">
        <v>151</v>
      </c>
      <c r="F5" s="2" t="s">
        <v>151</v>
      </c>
      <c r="G5" s="2" t="s">
        <v>151</v>
      </c>
      <c r="H5" s="20"/>
      <c r="I5" s="2" t="s">
        <v>151</v>
      </c>
      <c r="J5" s="2" t="s">
        <v>151</v>
      </c>
      <c r="K5" s="20"/>
      <c r="L5" s="2" t="s">
        <v>151</v>
      </c>
      <c r="M5" s="2" t="s">
        <v>151</v>
      </c>
      <c r="N5" s="2"/>
      <c r="O5" s="2" t="s">
        <v>151</v>
      </c>
      <c r="P5" s="2" t="s">
        <v>151</v>
      </c>
      <c r="Q5" s="2" t="s">
        <v>151</v>
      </c>
      <c r="R5" s="2" t="s">
        <v>151</v>
      </c>
      <c r="S5" s="2" t="s">
        <v>151</v>
      </c>
      <c r="T5" s="2" t="s">
        <v>151</v>
      </c>
      <c r="U5" s="20"/>
      <c r="V5" s="10" t="s">
        <v>151</v>
      </c>
      <c r="W5" s="2" t="s">
        <v>151</v>
      </c>
      <c r="X5" s="2" t="s">
        <v>151</v>
      </c>
      <c r="Y5" s="2" t="s">
        <v>151</v>
      </c>
      <c r="Z5" s="2" t="s">
        <v>151</v>
      </c>
      <c r="AB5" s="10" t="s">
        <v>151</v>
      </c>
      <c r="AC5" s="14">
        <f t="shared" ref="AC5:AC44" si="0">COUNTIF(E5:AB5,"x")</f>
        <v>19</v>
      </c>
      <c r="AE5" s="18" t="s">
        <v>61</v>
      </c>
      <c r="AF5" s="2" t="s">
        <v>239</v>
      </c>
      <c r="AG5" s="2" t="s">
        <v>240</v>
      </c>
      <c r="AH5" s="2" t="s">
        <v>239</v>
      </c>
      <c r="AI5" s="20"/>
      <c r="AJ5" s="2" t="s">
        <v>239</v>
      </c>
      <c r="AK5" s="2" t="s">
        <v>240</v>
      </c>
      <c r="AL5" s="20"/>
      <c r="AM5" s="2" t="s">
        <v>240</v>
      </c>
      <c r="AN5" s="2" t="s">
        <v>239</v>
      </c>
      <c r="AO5" s="36"/>
      <c r="AP5" s="2" t="s">
        <v>239</v>
      </c>
      <c r="AQ5" s="2" t="s">
        <v>239</v>
      </c>
      <c r="AR5" s="2" t="s">
        <v>239</v>
      </c>
      <c r="AS5" s="2" t="s">
        <v>240</v>
      </c>
      <c r="AT5" s="2" t="s">
        <v>239</v>
      </c>
      <c r="AU5" s="2" t="s">
        <v>239</v>
      </c>
      <c r="AV5" s="20"/>
      <c r="AW5" s="10" t="s">
        <v>240</v>
      </c>
      <c r="AX5" s="2" t="s">
        <v>240</v>
      </c>
      <c r="AY5" s="2" t="s">
        <v>239</v>
      </c>
      <c r="AZ5" s="2" t="s">
        <v>240</v>
      </c>
      <c r="BA5" s="2" t="s">
        <v>239</v>
      </c>
      <c r="BB5" s="38"/>
      <c r="BC5" s="10" t="s">
        <v>239</v>
      </c>
      <c r="BD5" s="22">
        <f>COUNTIF(AF5:BC5,"i")</f>
        <v>0</v>
      </c>
      <c r="BE5" s="65">
        <f>COUNTIF(AF5:BC5,"mo")</f>
        <v>7</v>
      </c>
      <c r="BF5" s="23">
        <f>COUNTIF(AG5:BD5,"me")</f>
        <v>0</v>
      </c>
    </row>
    <row r="6" spans="1:58" x14ac:dyDescent="0.3">
      <c r="A6">
        <v>2</v>
      </c>
      <c r="B6" t="s">
        <v>243</v>
      </c>
      <c r="D6" s="47" t="s">
        <v>253</v>
      </c>
      <c r="E6" s="2"/>
      <c r="F6" s="2" t="s">
        <v>151</v>
      </c>
      <c r="G6" s="2"/>
      <c r="H6" s="20"/>
      <c r="I6" s="2"/>
      <c r="J6" s="2" t="s">
        <v>151</v>
      </c>
      <c r="K6" s="20"/>
      <c r="L6" s="2" t="s">
        <v>151</v>
      </c>
      <c r="M6" s="2" t="s">
        <v>151</v>
      </c>
      <c r="N6" s="2" t="s">
        <v>151</v>
      </c>
      <c r="O6" s="2"/>
      <c r="P6" s="2" t="s">
        <v>151</v>
      </c>
      <c r="Q6" s="2" t="s">
        <v>151</v>
      </c>
      <c r="R6" s="2" t="s">
        <v>151</v>
      </c>
      <c r="S6" s="2" t="s">
        <v>151</v>
      </c>
      <c r="T6" s="2"/>
      <c r="U6" s="20"/>
      <c r="V6" s="10" t="s">
        <v>151</v>
      </c>
      <c r="X6" s="10" t="s">
        <v>151</v>
      </c>
      <c r="Y6" s="10" t="s">
        <v>151</v>
      </c>
      <c r="Z6" s="10" t="s">
        <v>151</v>
      </c>
      <c r="AA6" s="10" t="s">
        <v>151</v>
      </c>
      <c r="AB6" s="10" t="s">
        <v>151</v>
      </c>
      <c r="AC6" s="14">
        <f t="shared" si="0"/>
        <v>15</v>
      </c>
      <c r="AE6" s="14" t="s">
        <v>153</v>
      </c>
      <c r="AF6" s="2"/>
      <c r="AG6" s="2" t="s">
        <v>241</v>
      </c>
      <c r="AH6" s="2"/>
      <c r="AI6" s="20"/>
      <c r="AJ6" s="2"/>
      <c r="AK6" s="2" t="s">
        <v>241</v>
      </c>
      <c r="AL6" s="20"/>
      <c r="AM6" s="2" t="s">
        <v>241</v>
      </c>
      <c r="AN6" s="2" t="s">
        <v>241</v>
      </c>
      <c r="AO6" s="36"/>
      <c r="AP6" s="2"/>
      <c r="AQ6" s="2" t="s">
        <v>241</v>
      </c>
      <c r="AR6" s="2" t="s">
        <v>241</v>
      </c>
      <c r="AS6" s="2" t="s">
        <v>240</v>
      </c>
      <c r="AT6" s="2" t="s">
        <v>241</v>
      </c>
      <c r="AU6" s="2"/>
      <c r="AV6" s="20"/>
      <c r="AW6" s="10" t="s">
        <v>241</v>
      </c>
      <c r="AX6" s="10"/>
      <c r="AY6" s="10" t="s">
        <v>241</v>
      </c>
      <c r="AZ6" s="10" t="s">
        <v>241</v>
      </c>
      <c r="BA6" s="10" t="s">
        <v>241</v>
      </c>
      <c r="BB6" s="38"/>
      <c r="BC6" s="10" t="s">
        <v>240</v>
      </c>
      <c r="BD6" s="21">
        <f t="shared" ref="BD6:BD13" si="1">COUNTIF(AF6:BC6,"i")</f>
        <v>11</v>
      </c>
      <c r="BE6">
        <f t="shared" ref="BE6:BE13" si="2">COUNTIF(AF6:BC6,"mo")</f>
        <v>2</v>
      </c>
      <c r="BF6" s="6">
        <f t="shared" ref="BF6:BF12" si="3">COUNTIF(AF6:BC6,"me")</f>
        <v>0</v>
      </c>
    </row>
    <row r="7" spans="1:58" x14ac:dyDescent="0.3">
      <c r="A7">
        <v>3</v>
      </c>
      <c r="B7" t="s">
        <v>238</v>
      </c>
      <c r="D7" s="47" t="s">
        <v>254</v>
      </c>
      <c r="E7" s="2"/>
      <c r="F7" s="2"/>
      <c r="G7" s="2"/>
      <c r="H7" s="20"/>
      <c r="I7" s="2"/>
      <c r="J7" s="2"/>
      <c r="K7" s="20"/>
      <c r="L7" s="2" t="s">
        <v>151</v>
      </c>
      <c r="M7" s="2"/>
      <c r="N7" s="2" t="s">
        <v>151</v>
      </c>
      <c r="O7" s="2" t="s">
        <v>151</v>
      </c>
      <c r="P7" s="2" t="s">
        <v>151</v>
      </c>
      <c r="Q7" s="2" t="s">
        <v>151</v>
      </c>
      <c r="R7" s="2" t="s">
        <v>151</v>
      </c>
      <c r="S7" s="2" t="s">
        <v>151</v>
      </c>
      <c r="T7" s="2"/>
      <c r="U7" s="20"/>
      <c r="V7" s="10" t="s">
        <v>151</v>
      </c>
      <c r="W7" s="2" t="s">
        <v>151</v>
      </c>
      <c r="X7" s="2" t="s">
        <v>151</v>
      </c>
      <c r="Z7" s="2" t="s">
        <v>151</v>
      </c>
      <c r="AA7" s="2" t="s">
        <v>151</v>
      </c>
      <c r="AB7" s="2" t="s">
        <v>151</v>
      </c>
      <c r="AC7" s="14">
        <f t="shared" si="0"/>
        <v>13</v>
      </c>
      <c r="AE7" s="14" t="s">
        <v>156</v>
      </c>
      <c r="AF7" s="2"/>
      <c r="AG7" s="2"/>
      <c r="AH7" s="2"/>
      <c r="AI7" s="20"/>
      <c r="AJ7" s="2"/>
      <c r="AK7" s="2"/>
      <c r="AL7" s="20"/>
      <c r="AM7" s="2" t="s">
        <v>241</v>
      </c>
      <c r="AN7" s="2"/>
      <c r="AO7" s="36"/>
      <c r="AP7" s="2" t="s">
        <v>241</v>
      </c>
      <c r="AQ7" s="2" t="s">
        <v>241</v>
      </c>
      <c r="AR7" s="2" t="s">
        <v>241</v>
      </c>
      <c r="AS7" s="2" t="s">
        <v>241</v>
      </c>
      <c r="AT7" s="2" t="s">
        <v>241</v>
      </c>
      <c r="AU7" s="2"/>
      <c r="AV7" s="20"/>
      <c r="AW7" s="10" t="s">
        <v>241</v>
      </c>
      <c r="AX7" s="2" t="s">
        <v>240</v>
      </c>
      <c r="AY7" s="2" t="s">
        <v>240</v>
      </c>
      <c r="AZ7" s="10"/>
      <c r="BA7" s="2" t="s">
        <v>241</v>
      </c>
      <c r="BB7" s="36"/>
      <c r="BC7" s="2" t="s">
        <v>240</v>
      </c>
      <c r="BD7" s="21">
        <f t="shared" si="1"/>
        <v>8</v>
      </c>
      <c r="BE7">
        <f t="shared" si="2"/>
        <v>3</v>
      </c>
      <c r="BF7" s="6">
        <f t="shared" si="3"/>
        <v>0</v>
      </c>
    </row>
    <row r="8" spans="1:58" x14ac:dyDescent="0.3">
      <c r="A8">
        <v>4</v>
      </c>
      <c r="D8" s="46" t="s">
        <v>255</v>
      </c>
      <c r="E8" s="2"/>
      <c r="F8" s="2" t="s">
        <v>151</v>
      </c>
      <c r="G8" s="2"/>
      <c r="H8" s="20"/>
      <c r="I8" s="2"/>
      <c r="J8" s="2" t="s">
        <v>151</v>
      </c>
      <c r="K8" s="20"/>
      <c r="L8" s="2" t="s">
        <v>151</v>
      </c>
      <c r="M8" s="2"/>
      <c r="N8" s="2"/>
      <c r="O8" s="2" t="s">
        <v>151</v>
      </c>
      <c r="P8" s="2" t="s">
        <v>151</v>
      </c>
      <c r="Q8" s="2"/>
      <c r="R8" s="2" t="s">
        <v>151</v>
      </c>
      <c r="S8" s="2"/>
      <c r="T8" s="2" t="s">
        <v>151</v>
      </c>
      <c r="U8" s="20"/>
      <c r="V8" s="10" t="s">
        <v>151</v>
      </c>
      <c r="Y8" s="10" t="s">
        <v>151</v>
      </c>
      <c r="AC8" s="14">
        <f t="shared" si="0"/>
        <v>9</v>
      </c>
      <c r="AE8" s="18" t="s">
        <v>155</v>
      </c>
      <c r="AF8" s="2"/>
      <c r="AG8" s="2" t="s">
        <v>239</v>
      </c>
      <c r="AH8" s="2"/>
      <c r="AI8" s="20"/>
      <c r="AJ8" s="2"/>
      <c r="AK8" s="2" t="s">
        <v>239</v>
      </c>
      <c r="AL8" s="20"/>
      <c r="AM8" s="2" t="s">
        <v>239</v>
      </c>
      <c r="AN8" s="2"/>
      <c r="AO8" s="36"/>
      <c r="AP8" s="2" t="s">
        <v>239</v>
      </c>
      <c r="AQ8" s="2" t="s">
        <v>239</v>
      </c>
      <c r="AR8" s="2"/>
      <c r="AS8" s="2" t="s">
        <v>239</v>
      </c>
      <c r="AT8" s="2"/>
      <c r="AU8" s="2" t="s">
        <v>239</v>
      </c>
      <c r="AV8" s="20"/>
      <c r="AW8" s="10" t="s">
        <v>239</v>
      </c>
      <c r="AX8" s="10"/>
      <c r="AY8" s="10"/>
      <c r="AZ8" s="10" t="s">
        <v>239</v>
      </c>
      <c r="BA8" s="10"/>
      <c r="BB8" s="38"/>
      <c r="BC8" s="10"/>
      <c r="BD8" s="22">
        <f t="shared" si="1"/>
        <v>0</v>
      </c>
      <c r="BE8" s="23">
        <f t="shared" si="2"/>
        <v>0</v>
      </c>
      <c r="BF8" s="29">
        <f t="shared" si="3"/>
        <v>0</v>
      </c>
    </row>
    <row r="9" spans="1:58" x14ac:dyDescent="0.3">
      <c r="A9">
        <v>5</v>
      </c>
      <c r="B9" t="s">
        <v>298</v>
      </c>
      <c r="D9" s="47" t="s">
        <v>256</v>
      </c>
      <c r="E9" s="2"/>
      <c r="F9" s="2" t="s">
        <v>151</v>
      </c>
      <c r="G9" s="2" t="s">
        <v>151</v>
      </c>
      <c r="H9" s="20"/>
      <c r="I9" s="2" t="s">
        <v>151</v>
      </c>
      <c r="J9" s="2"/>
      <c r="K9" s="20"/>
      <c r="L9" s="2"/>
      <c r="M9" s="2" t="s">
        <v>151</v>
      </c>
      <c r="N9" s="2"/>
      <c r="O9" s="2"/>
      <c r="P9" s="2" t="s">
        <v>151</v>
      </c>
      <c r="Q9" s="2"/>
      <c r="R9" s="2"/>
      <c r="S9" s="2"/>
      <c r="T9" s="2"/>
      <c r="U9" s="20"/>
      <c r="X9" s="10" t="s">
        <v>151</v>
      </c>
      <c r="Z9" s="10" t="s">
        <v>151</v>
      </c>
      <c r="AB9" s="10" t="s">
        <v>151</v>
      </c>
      <c r="AC9" s="14">
        <f t="shared" si="0"/>
        <v>8</v>
      </c>
      <c r="AE9" s="14" t="s">
        <v>154</v>
      </c>
      <c r="AF9" s="2"/>
      <c r="AG9" s="2" t="s">
        <v>240</v>
      </c>
      <c r="AH9" s="2" t="s">
        <v>241</v>
      </c>
      <c r="AI9" s="20"/>
      <c r="AJ9" s="2" t="s">
        <v>241</v>
      </c>
      <c r="AK9" s="2"/>
      <c r="AL9" s="20"/>
      <c r="AM9" s="2"/>
      <c r="AN9" s="2" t="s">
        <v>241</v>
      </c>
      <c r="AO9" s="36"/>
      <c r="AP9" s="2"/>
      <c r="AQ9" s="2" t="s">
        <v>241</v>
      </c>
      <c r="AR9" s="2"/>
      <c r="AS9" s="2"/>
      <c r="AT9" s="2"/>
      <c r="AU9" s="2"/>
      <c r="AV9" s="20"/>
      <c r="AW9" s="10"/>
      <c r="AX9" s="10"/>
      <c r="AY9" s="10" t="s">
        <v>241</v>
      </c>
      <c r="AZ9" s="10"/>
      <c r="BA9" s="10" t="s">
        <v>241</v>
      </c>
      <c r="BB9" s="38"/>
      <c r="BC9" s="10" t="s">
        <v>241</v>
      </c>
      <c r="BD9" s="21">
        <f t="shared" si="1"/>
        <v>7</v>
      </c>
      <c r="BE9">
        <f t="shared" si="2"/>
        <v>1</v>
      </c>
      <c r="BF9" s="6">
        <f t="shared" si="3"/>
        <v>0</v>
      </c>
    </row>
    <row r="10" spans="1:58" x14ac:dyDescent="0.3">
      <c r="A10">
        <v>6</v>
      </c>
      <c r="B10" t="s">
        <v>299</v>
      </c>
      <c r="D10" s="47" t="s">
        <v>257</v>
      </c>
      <c r="E10" s="2"/>
      <c r="F10" s="2" t="s">
        <v>151</v>
      </c>
      <c r="G10" s="2"/>
      <c r="H10" s="20"/>
      <c r="I10" s="2"/>
      <c r="J10" s="2"/>
      <c r="K10" s="20"/>
      <c r="L10" s="2"/>
      <c r="M10" s="2" t="s">
        <v>151</v>
      </c>
      <c r="N10" s="2" t="s">
        <v>151</v>
      </c>
      <c r="O10" s="2" t="s">
        <v>151</v>
      </c>
      <c r="P10" s="2"/>
      <c r="Q10" s="2"/>
      <c r="R10" s="2" t="s">
        <v>151</v>
      </c>
      <c r="S10" s="2"/>
      <c r="T10" s="2"/>
      <c r="U10" s="20"/>
      <c r="V10" s="10" t="s">
        <v>151</v>
      </c>
      <c r="Y10" s="10" t="s">
        <v>151</v>
      </c>
      <c r="AC10" s="14">
        <f t="shared" si="0"/>
        <v>7</v>
      </c>
      <c r="AE10" s="14" t="s">
        <v>152</v>
      </c>
      <c r="AF10" s="2"/>
      <c r="AG10" s="2" t="s">
        <v>241</v>
      </c>
      <c r="AH10" s="2"/>
      <c r="AI10" s="20"/>
      <c r="AJ10" s="2"/>
      <c r="AK10" s="2"/>
      <c r="AL10" s="20"/>
      <c r="AM10" s="2"/>
      <c r="AN10" s="2" t="s">
        <v>241</v>
      </c>
      <c r="AO10" s="36"/>
      <c r="AP10" s="2" t="s">
        <v>241</v>
      </c>
      <c r="AQ10" s="2"/>
      <c r="AR10" s="2"/>
      <c r="AS10" s="2" t="s">
        <v>240</v>
      </c>
      <c r="AT10" s="2"/>
      <c r="AU10" s="2"/>
      <c r="AV10" s="20"/>
      <c r="AW10" s="10" t="s">
        <v>241</v>
      </c>
      <c r="AX10" s="10"/>
      <c r="AY10" s="10"/>
      <c r="AZ10" s="10" t="s">
        <v>241</v>
      </c>
      <c r="BA10" s="10"/>
      <c r="BB10" s="38"/>
      <c r="BC10" s="10"/>
      <c r="BD10" s="21">
        <f t="shared" si="1"/>
        <v>5</v>
      </c>
      <c r="BE10">
        <f t="shared" si="2"/>
        <v>1</v>
      </c>
      <c r="BF10" s="6">
        <f t="shared" si="3"/>
        <v>0</v>
      </c>
    </row>
    <row r="11" spans="1:58" x14ac:dyDescent="0.3">
      <c r="A11">
        <v>7</v>
      </c>
      <c r="B11" t="s">
        <v>237</v>
      </c>
      <c r="D11" s="47" t="s">
        <v>258</v>
      </c>
      <c r="E11" s="2"/>
      <c r="F11" s="2"/>
      <c r="G11" s="2"/>
      <c r="H11" s="20"/>
      <c r="I11" s="2" t="s">
        <v>151</v>
      </c>
      <c r="J11" s="2"/>
      <c r="K11" s="20"/>
      <c r="L11" s="2" t="s">
        <v>151</v>
      </c>
      <c r="M11" s="2"/>
      <c r="N11" s="2"/>
      <c r="O11" s="2"/>
      <c r="P11" s="2"/>
      <c r="Q11" s="2"/>
      <c r="R11" s="2"/>
      <c r="S11" s="2"/>
      <c r="T11" s="2"/>
      <c r="U11" s="20"/>
      <c r="V11" s="10" t="s">
        <v>151</v>
      </c>
      <c r="Y11" s="10" t="s">
        <v>151</v>
      </c>
      <c r="AB11" s="10" t="s">
        <v>151</v>
      </c>
      <c r="AC11" s="14">
        <f t="shared" si="0"/>
        <v>5</v>
      </c>
      <c r="AE11" s="14" t="s">
        <v>251</v>
      </c>
      <c r="AF11" s="2"/>
      <c r="AG11" s="2"/>
      <c r="AH11" s="2"/>
      <c r="AI11" s="20"/>
      <c r="AJ11" s="2" t="s">
        <v>241</v>
      </c>
      <c r="AK11" s="2"/>
      <c r="AL11" s="20"/>
      <c r="AM11" s="2" t="s">
        <v>241</v>
      </c>
      <c r="AN11" s="2"/>
      <c r="AO11" s="36"/>
      <c r="AP11" s="2"/>
      <c r="AQ11" s="2"/>
      <c r="AR11" s="2"/>
      <c r="AS11" s="2"/>
      <c r="AT11" s="2"/>
      <c r="AU11" s="2"/>
      <c r="AV11" s="20"/>
      <c r="AW11" s="10" t="s">
        <v>241</v>
      </c>
      <c r="AX11" s="10"/>
      <c r="AY11" s="10"/>
      <c r="AZ11" s="10" t="s">
        <v>241</v>
      </c>
      <c r="BA11" s="10"/>
      <c r="BB11" s="38"/>
      <c r="BC11" s="10" t="s">
        <v>241</v>
      </c>
      <c r="BD11" s="21">
        <f t="shared" si="1"/>
        <v>5</v>
      </c>
      <c r="BE11">
        <f t="shared" si="2"/>
        <v>0</v>
      </c>
      <c r="BF11" s="6">
        <f t="shared" si="3"/>
        <v>0</v>
      </c>
    </row>
    <row r="12" spans="1:58" x14ac:dyDescent="0.3">
      <c r="A12">
        <v>8</v>
      </c>
      <c r="D12" s="47" t="s">
        <v>291</v>
      </c>
      <c r="E12" s="2" t="s">
        <v>151</v>
      </c>
      <c r="F12" s="2"/>
      <c r="G12" s="2" t="s">
        <v>151</v>
      </c>
      <c r="H12" s="20"/>
      <c r="I12" s="2"/>
      <c r="J12" s="2"/>
      <c r="K12" s="20"/>
      <c r="L12" s="2"/>
      <c r="M12" s="2" t="s">
        <v>151</v>
      </c>
      <c r="N12" s="2"/>
      <c r="O12" s="2"/>
      <c r="P12" s="2"/>
      <c r="Q12" s="2"/>
      <c r="R12" s="2" t="s">
        <v>151</v>
      </c>
      <c r="S12" s="2"/>
      <c r="T12" s="2"/>
      <c r="U12" s="20"/>
      <c r="AC12" s="14">
        <f t="shared" si="0"/>
        <v>4</v>
      </c>
      <c r="AE12" s="14" t="s">
        <v>292</v>
      </c>
      <c r="AF12" s="2" t="s">
        <v>241</v>
      </c>
      <c r="AG12" s="2"/>
      <c r="AH12" s="2" t="s">
        <v>241</v>
      </c>
      <c r="AI12" s="20"/>
      <c r="AJ12" s="2"/>
      <c r="AK12" s="2"/>
      <c r="AL12" s="20"/>
      <c r="AM12" s="2"/>
      <c r="AN12" s="2" t="s">
        <v>241</v>
      </c>
      <c r="AO12" s="36"/>
      <c r="AP12" s="2"/>
      <c r="AQ12" s="2"/>
      <c r="AR12" s="2"/>
      <c r="AS12" s="2" t="s">
        <v>241</v>
      </c>
      <c r="AT12" s="2"/>
      <c r="AU12" s="2"/>
      <c r="AV12" s="20"/>
      <c r="AW12" s="10"/>
      <c r="AX12" s="10"/>
      <c r="AY12" s="10"/>
      <c r="AZ12" s="10"/>
      <c r="BA12" s="10"/>
      <c r="BB12" s="38"/>
      <c r="BC12" s="10"/>
      <c r="BD12" s="21">
        <f t="shared" si="1"/>
        <v>4</v>
      </c>
      <c r="BE12">
        <f t="shared" si="2"/>
        <v>0</v>
      </c>
      <c r="BF12" s="6">
        <f t="shared" si="3"/>
        <v>0</v>
      </c>
    </row>
    <row r="13" spans="1:58" x14ac:dyDescent="0.3">
      <c r="A13">
        <v>9</v>
      </c>
      <c r="D13" s="47" t="s">
        <v>259</v>
      </c>
      <c r="E13" s="2"/>
      <c r="F13" s="2"/>
      <c r="G13" s="2" t="s">
        <v>151</v>
      </c>
      <c r="H13" s="20"/>
      <c r="I13" s="2"/>
      <c r="J13" s="2" t="s">
        <v>151</v>
      </c>
      <c r="K13" s="20"/>
      <c r="L13" s="2"/>
      <c r="M13" s="2"/>
      <c r="N13" s="2"/>
      <c r="O13" s="2"/>
      <c r="P13" s="2" t="s">
        <v>151</v>
      </c>
      <c r="Q13" s="2"/>
      <c r="R13" s="2"/>
      <c r="S13" s="2"/>
      <c r="T13" s="2"/>
      <c r="U13" s="20"/>
      <c r="AA13" s="10" t="s">
        <v>151</v>
      </c>
      <c r="AC13" s="14">
        <f t="shared" si="0"/>
        <v>4</v>
      </c>
      <c r="AE13" s="30" t="s">
        <v>76</v>
      </c>
      <c r="AF13" s="9"/>
      <c r="AG13" s="9"/>
      <c r="AH13" s="9" t="s">
        <v>242</v>
      </c>
      <c r="AI13" s="31"/>
      <c r="AJ13" s="9"/>
      <c r="AK13" s="9" t="s">
        <v>242</v>
      </c>
      <c r="AL13" s="31"/>
      <c r="AM13" s="9"/>
      <c r="AN13" s="9"/>
      <c r="AO13" s="37"/>
      <c r="AP13" s="9"/>
      <c r="AQ13" s="9" t="s">
        <v>240</v>
      </c>
      <c r="AR13" s="9"/>
      <c r="AS13" s="9"/>
      <c r="AT13" s="9"/>
      <c r="AU13" s="9"/>
      <c r="AV13" s="31"/>
      <c r="AW13" s="11"/>
      <c r="AX13" s="11"/>
      <c r="AY13" s="11"/>
      <c r="AZ13" s="11"/>
      <c r="BA13" s="11"/>
      <c r="BB13" s="39"/>
      <c r="BC13" s="11"/>
      <c r="BD13" s="32">
        <f t="shared" si="1"/>
        <v>0</v>
      </c>
      <c r="BE13" s="33">
        <f t="shared" si="2"/>
        <v>1</v>
      </c>
      <c r="BF13" s="34">
        <f>COUNTIF(AF13:BC13,"me")</f>
        <v>2</v>
      </c>
    </row>
    <row r="14" spans="1:58" x14ac:dyDescent="0.3">
      <c r="A14">
        <v>10</v>
      </c>
      <c r="D14" s="54" t="s">
        <v>260</v>
      </c>
      <c r="E14" s="2" t="s">
        <v>151</v>
      </c>
      <c r="F14" s="2"/>
      <c r="G14" s="2"/>
      <c r="H14" s="2"/>
      <c r="I14" s="2"/>
      <c r="J14" s="2"/>
      <c r="K14" s="2"/>
      <c r="L14" s="2"/>
      <c r="M14" s="2"/>
      <c r="N14" s="2"/>
      <c r="O14" s="2"/>
      <c r="P14" s="2"/>
      <c r="Q14" s="2"/>
      <c r="R14" s="2" t="s">
        <v>151</v>
      </c>
      <c r="S14" s="2"/>
      <c r="T14" s="2" t="s">
        <v>151</v>
      </c>
      <c r="U14" s="2"/>
      <c r="AC14" s="15">
        <f t="shared" si="0"/>
        <v>3</v>
      </c>
    </row>
    <row r="15" spans="1:58" x14ac:dyDescent="0.3">
      <c r="A15">
        <v>11</v>
      </c>
      <c r="D15" s="54" t="s">
        <v>261</v>
      </c>
      <c r="E15" s="2"/>
      <c r="F15" s="2" t="s">
        <v>151</v>
      </c>
      <c r="G15" s="2"/>
      <c r="H15" s="2"/>
      <c r="I15" s="2"/>
      <c r="J15" s="2"/>
      <c r="K15" s="2"/>
      <c r="L15" s="2" t="s">
        <v>151</v>
      </c>
      <c r="M15" s="2"/>
      <c r="N15" s="2"/>
      <c r="O15" s="2"/>
      <c r="P15" s="2"/>
      <c r="Q15" s="2" t="s">
        <v>151</v>
      </c>
      <c r="R15" s="2"/>
      <c r="S15" s="2"/>
      <c r="T15" s="2"/>
      <c r="U15" s="2"/>
      <c r="AC15" s="15">
        <f t="shared" si="0"/>
        <v>3</v>
      </c>
    </row>
    <row r="16" spans="1:58" x14ac:dyDescent="0.3">
      <c r="A16">
        <v>12</v>
      </c>
      <c r="D16" s="54" t="s">
        <v>262</v>
      </c>
      <c r="E16" s="2"/>
      <c r="F16" s="2"/>
      <c r="G16" s="2"/>
      <c r="H16" s="2"/>
      <c r="I16" s="2"/>
      <c r="J16" s="2"/>
      <c r="K16" s="2"/>
      <c r="L16" s="2"/>
      <c r="M16" s="2" t="s">
        <v>151</v>
      </c>
      <c r="N16" s="2" t="s">
        <v>151</v>
      </c>
      <c r="O16" s="2"/>
      <c r="P16" s="2"/>
      <c r="Q16" s="2"/>
      <c r="R16" s="2"/>
      <c r="S16" s="2"/>
      <c r="T16" s="2" t="s">
        <v>151</v>
      </c>
      <c r="U16" s="2"/>
      <c r="AC16" s="15">
        <f t="shared" si="0"/>
        <v>3</v>
      </c>
    </row>
    <row r="17" spans="1:58" x14ac:dyDescent="0.3">
      <c r="A17">
        <v>13</v>
      </c>
      <c r="D17" s="54" t="s">
        <v>263</v>
      </c>
      <c r="E17" s="2" t="s">
        <v>151</v>
      </c>
      <c r="F17" s="2"/>
      <c r="G17" s="2"/>
      <c r="H17" s="2"/>
      <c r="I17" s="2"/>
      <c r="J17" s="2"/>
      <c r="K17" s="2"/>
      <c r="L17" s="2"/>
      <c r="M17" s="2"/>
      <c r="N17" s="2"/>
      <c r="O17" s="2"/>
      <c r="P17" s="2"/>
      <c r="Q17" s="2"/>
      <c r="R17" s="2" t="s">
        <v>151</v>
      </c>
      <c r="S17" s="2"/>
      <c r="T17" s="2"/>
      <c r="U17" s="2"/>
      <c r="AC17" s="15">
        <f t="shared" si="0"/>
        <v>2</v>
      </c>
    </row>
    <row r="18" spans="1:58" x14ac:dyDescent="0.3">
      <c r="A18">
        <v>14</v>
      </c>
      <c r="D18" s="54" t="s">
        <v>264</v>
      </c>
      <c r="E18" s="2" t="s">
        <v>151</v>
      </c>
      <c r="F18" s="2"/>
      <c r="G18" s="2" t="s">
        <v>151</v>
      </c>
      <c r="H18" s="2"/>
      <c r="I18" s="2"/>
      <c r="J18" s="2"/>
      <c r="K18" s="2"/>
      <c r="L18" s="2"/>
      <c r="M18" s="2"/>
      <c r="N18" s="2"/>
      <c r="O18" s="2"/>
      <c r="P18" s="2"/>
      <c r="Q18" s="2"/>
      <c r="R18" s="2"/>
      <c r="S18" s="2"/>
      <c r="T18" s="2"/>
      <c r="U18" s="2"/>
      <c r="AC18" s="15">
        <f t="shared" si="0"/>
        <v>2</v>
      </c>
      <c r="AE18" s="24"/>
      <c r="AF18" s="52" t="s">
        <v>173</v>
      </c>
      <c r="AG18" s="53" t="s">
        <v>172</v>
      </c>
      <c r="AH18" s="53" t="s">
        <v>171</v>
      </c>
      <c r="AI18" s="53"/>
      <c r="AJ18" s="53" t="s">
        <v>169</v>
      </c>
      <c r="AK18" s="53" t="s">
        <v>168</v>
      </c>
      <c r="AL18" s="53"/>
      <c r="AM18" s="53" t="s">
        <v>166</v>
      </c>
      <c r="AN18" s="53" t="s">
        <v>165</v>
      </c>
      <c r="AO18" s="53"/>
      <c r="AP18" s="53" t="s">
        <v>163</v>
      </c>
      <c r="AQ18" s="53" t="s">
        <v>162</v>
      </c>
      <c r="AR18" s="53" t="s">
        <v>161</v>
      </c>
      <c r="AS18" s="53" t="s">
        <v>160</v>
      </c>
      <c r="AT18" s="53" t="s">
        <v>159</v>
      </c>
      <c r="AU18" s="53" t="s">
        <v>158</v>
      </c>
      <c r="AV18" s="53"/>
      <c r="AW18" s="53" t="s">
        <v>206</v>
      </c>
      <c r="AX18" s="53" t="s">
        <v>207</v>
      </c>
      <c r="AY18" s="53" t="s">
        <v>208</v>
      </c>
      <c r="AZ18" s="53" t="s">
        <v>209</v>
      </c>
      <c r="BA18" s="53" t="s">
        <v>210</v>
      </c>
      <c r="BB18" s="53"/>
      <c r="BC18" s="53" t="s">
        <v>212</v>
      </c>
      <c r="BD18" s="26" t="s">
        <v>250</v>
      </c>
      <c r="BE18" s="27" t="s">
        <v>248</v>
      </c>
      <c r="BF18" s="28" t="s">
        <v>249</v>
      </c>
    </row>
    <row r="19" spans="1:58" x14ac:dyDescent="0.3">
      <c r="A19">
        <v>15</v>
      </c>
      <c r="D19" s="54" t="s">
        <v>265</v>
      </c>
      <c r="E19" s="2"/>
      <c r="F19" s="2"/>
      <c r="G19" s="2"/>
      <c r="H19" s="2"/>
      <c r="I19" s="2"/>
      <c r="J19" s="2"/>
      <c r="K19" s="2"/>
      <c r="L19" s="2"/>
      <c r="M19" s="2"/>
      <c r="N19" s="2"/>
      <c r="O19" s="2"/>
      <c r="P19" s="2"/>
      <c r="Q19" s="2" t="s">
        <v>151</v>
      </c>
      <c r="R19" s="2"/>
      <c r="S19" s="2"/>
      <c r="T19" s="2" t="s">
        <v>151</v>
      </c>
      <c r="U19" s="2"/>
      <c r="AC19" s="15">
        <f t="shared" si="0"/>
        <v>2</v>
      </c>
      <c r="AE19" s="49" t="str">
        <f t="shared" ref="AE19:AH27" si="4">PROPER(AE5)</f>
        <v>Patient Satisfaction</v>
      </c>
      <c r="AF19" s="45" t="str">
        <f t="shared" si="4"/>
        <v>D</v>
      </c>
      <c r="AG19" s="45" t="str">
        <f t="shared" si="4"/>
        <v>Mo</v>
      </c>
      <c r="AH19" s="45" t="str">
        <f t="shared" si="4"/>
        <v>D</v>
      </c>
      <c r="AI19" s="45"/>
      <c r="AJ19" s="45" t="str">
        <f t="shared" ref="AJ19:AK27" si="5">PROPER(AJ5)</f>
        <v>D</v>
      </c>
      <c r="AK19" s="45" t="str">
        <f t="shared" si="5"/>
        <v>Mo</v>
      </c>
      <c r="AL19" s="45"/>
      <c r="AM19" s="45" t="str">
        <f t="shared" ref="AM19:AN27" si="6">PROPER(AM5)</f>
        <v>Mo</v>
      </c>
      <c r="AN19" s="45" t="str">
        <f t="shared" si="6"/>
        <v>D</v>
      </c>
      <c r="AO19" s="44"/>
      <c r="AP19" s="45" t="str">
        <f t="shared" ref="AP19:AU27" si="7">PROPER(AP5)</f>
        <v>D</v>
      </c>
      <c r="AQ19" s="45" t="str">
        <f t="shared" si="7"/>
        <v>D</v>
      </c>
      <c r="AR19" s="45" t="str">
        <f t="shared" si="7"/>
        <v>D</v>
      </c>
      <c r="AS19" s="45" t="str">
        <f t="shared" si="7"/>
        <v>Mo</v>
      </c>
      <c r="AT19" s="45" t="str">
        <f t="shared" si="7"/>
        <v>D</v>
      </c>
      <c r="AU19" s="45" t="str">
        <f t="shared" si="7"/>
        <v>D</v>
      </c>
      <c r="AV19" s="45"/>
      <c r="AW19" s="45" t="str">
        <f t="shared" ref="AW19:BA27" si="8">PROPER(AW5)</f>
        <v>Mo</v>
      </c>
      <c r="AX19" s="45" t="str">
        <f t="shared" si="8"/>
        <v>Mo</v>
      </c>
      <c r="AY19" s="45" t="str">
        <f t="shared" si="8"/>
        <v>D</v>
      </c>
      <c r="AZ19" s="45" t="str">
        <f t="shared" si="8"/>
        <v>Mo</v>
      </c>
      <c r="BA19" s="45" t="str">
        <f t="shared" si="8"/>
        <v>D</v>
      </c>
      <c r="BB19" s="44"/>
      <c r="BC19" s="45" t="str">
        <f t="shared" ref="BC19:BC27" si="9">PROPER(BC5)</f>
        <v>D</v>
      </c>
      <c r="BD19" s="22"/>
      <c r="BE19" s="65">
        <v>7</v>
      </c>
      <c r="BF19" s="29"/>
    </row>
    <row r="20" spans="1:58" x14ac:dyDescent="0.3">
      <c r="A20">
        <v>16</v>
      </c>
      <c r="D20" s="54" t="s">
        <v>266</v>
      </c>
      <c r="E20" s="2"/>
      <c r="F20" s="2"/>
      <c r="G20" s="2"/>
      <c r="H20" s="2"/>
      <c r="I20" s="2" t="s">
        <v>151</v>
      </c>
      <c r="J20" s="2"/>
      <c r="K20" s="2"/>
      <c r="L20" s="2"/>
      <c r="M20" s="2" t="s">
        <v>151</v>
      </c>
      <c r="N20" s="2"/>
      <c r="O20" s="2"/>
      <c r="P20" s="2"/>
      <c r="Q20" s="2"/>
      <c r="R20" s="2"/>
      <c r="S20" s="2"/>
      <c r="T20" s="2"/>
      <c r="U20" s="2"/>
      <c r="AC20" s="15">
        <f t="shared" si="0"/>
        <v>2</v>
      </c>
      <c r="AE20" s="50" t="str">
        <f t="shared" si="4"/>
        <v>Convenience</v>
      </c>
      <c r="AF20" s="2" t="str">
        <f t="shared" si="4"/>
        <v/>
      </c>
      <c r="AG20" s="2" t="str">
        <f t="shared" si="4"/>
        <v>I</v>
      </c>
      <c r="AH20" s="2" t="str">
        <f t="shared" si="4"/>
        <v/>
      </c>
      <c r="AI20" s="20"/>
      <c r="AJ20" s="2" t="str">
        <f t="shared" si="5"/>
        <v/>
      </c>
      <c r="AK20" s="2" t="str">
        <f t="shared" si="5"/>
        <v>I</v>
      </c>
      <c r="AL20" s="20"/>
      <c r="AM20" s="2" t="str">
        <f t="shared" si="6"/>
        <v>I</v>
      </c>
      <c r="AN20" s="2" t="str">
        <f t="shared" si="6"/>
        <v>I</v>
      </c>
      <c r="AO20" s="40"/>
      <c r="AP20" s="2" t="str">
        <f t="shared" si="7"/>
        <v/>
      </c>
      <c r="AQ20" s="2" t="str">
        <f t="shared" si="7"/>
        <v>I</v>
      </c>
      <c r="AR20" s="2" t="str">
        <f t="shared" si="7"/>
        <v>I</v>
      </c>
      <c r="AS20" s="2" t="str">
        <f t="shared" si="7"/>
        <v>Mo</v>
      </c>
      <c r="AT20" s="2" t="str">
        <f t="shared" si="7"/>
        <v>I</v>
      </c>
      <c r="AU20" s="2" t="str">
        <f t="shared" si="7"/>
        <v/>
      </c>
      <c r="AV20" s="20"/>
      <c r="AW20" s="2" t="str">
        <f t="shared" si="8"/>
        <v>I</v>
      </c>
      <c r="AX20" s="2" t="str">
        <f t="shared" si="8"/>
        <v/>
      </c>
      <c r="AY20" s="2" t="str">
        <f t="shared" si="8"/>
        <v>I</v>
      </c>
      <c r="AZ20" s="2" t="str">
        <f t="shared" si="8"/>
        <v>I</v>
      </c>
      <c r="BA20" s="2" t="str">
        <f t="shared" si="8"/>
        <v>I</v>
      </c>
      <c r="BB20" s="40"/>
      <c r="BC20" s="2" t="str">
        <f t="shared" si="9"/>
        <v>Mo</v>
      </c>
      <c r="BD20" s="21">
        <f t="shared" ref="BD20:BD27" si="10">COUNTIF(AF20:BC20,"i")</f>
        <v>11</v>
      </c>
      <c r="BE20">
        <f t="shared" ref="BE20:BE27" si="11">COUNTIF(AF20:BC20,"mo")</f>
        <v>2</v>
      </c>
      <c r="BF20" s="6">
        <f t="shared" ref="BF20:BF26" si="12">COUNTIF(AF20:BC20,"me")</f>
        <v>0</v>
      </c>
    </row>
    <row r="21" spans="1:58" x14ac:dyDescent="0.3">
      <c r="A21">
        <v>17</v>
      </c>
      <c r="D21" s="54" t="s">
        <v>267</v>
      </c>
      <c r="E21" s="2"/>
      <c r="F21" s="2"/>
      <c r="G21" s="2"/>
      <c r="H21" s="2"/>
      <c r="I21" s="2" t="s">
        <v>151</v>
      </c>
      <c r="J21" s="2"/>
      <c r="K21" s="2"/>
      <c r="L21" s="2"/>
      <c r="M21" s="2"/>
      <c r="N21" s="2"/>
      <c r="O21" s="2"/>
      <c r="P21" s="2"/>
      <c r="Q21" s="2"/>
      <c r="R21" s="2"/>
      <c r="S21" s="2"/>
      <c r="T21" s="2"/>
      <c r="U21" s="2"/>
      <c r="AA21" s="10" t="s">
        <v>151</v>
      </c>
      <c r="AC21" s="15">
        <f t="shared" si="0"/>
        <v>2</v>
      </c>
      <c r="AE21" s="50" t="str">
        <f t="shared" si="4"/>
        <v>Technical Aspect</v>
      </c>
      <c r="AF21" s="2" t="str">
        <f t="shared" si="4"/>
        <v/>
      </c>
      <c r="AG21" s="2" t="str">
        <f t="shared" si="4"/>
        <v/>
      </c>
      <c r="AH21" s="2" t="str">
        <f t="shared" si="4"/>
        <v/>
      </c>
      <c r="AI21" s="20"/>
      <c r="AJ21" s="2" t="str">
        <f t="shared" si="5"/>
        <v/>
      </c>
      <c r="AK21" s="2" t="str">
        <f t="shared" si="5"/>
        <v/>
      </c>
      <c r="AL21" s="20"/>
      <c r="AM21" s="2" t="str">
        <f t="shared" si="6"/>
        <v>I</v>
      </c>
      <c r="AN21" s="2" t="str">
        <f t="shared" si="6"/>
        <v/>
      </c>
      <c r="AO21" s="40"/>
      <c r="AP21" s="2" t="str">
        <f t="shared" si="7"/>
        <v>I</v>
      </c>
      <c r="AQ21" s="2" t="str">
        <f t="shared" si="7"/>
        <v>I</v>
      </c>
      <c r="AR21" s="2" t="str">
        <f t="shared" si="7"/>
        <v>I</v>
      </c>
      <c r="AS21" s="2" t="str">
        <f t="shared" si="7"/>
        <v>I</v>
      </c>
      <c r="AT21" s="2" t="str">
        <f t="shared" si="7"/>
        <v>I</v>
      </c>
      <c r="AU21" s="2" t="str">
        <f t="shared" si="7"/>
        <v/>
      </c>
      <c r="AV21" s="20"/>
      <c r="AW21" s="2" t="str">
        <f t="shared" si="8"/>
        <v>I</v>
      </c>
      <c r="AX21" s="2" t="str">
        <f t="shared" si="8"/>
        <v>Mo</v>
      </c>
      <c r="AY21" s="2" t="str">
        <f t="shared" si="8"/>
        <v>Mo</v>
      </c>
      <c r="AZ21" s="2" t="str">
        <f t="shared" si="8"/>
        <v/>
      </c>
      <c r="BA21" s="2" t="str">
        <f t="shared" si="8"/>
        <v>I</v>
      </c>
      <c r="BB21" s="40"/>
      <c r="BC21" s="2" t="str">
        <f t="shared" si="9"/>
        <v>Mo</v>
      </c>
      <c r="BD21" s="21">
        <f t="shared" si="10"/>
        <v>8</v>
      </c>
      <c r="BE21">
        <f t="shared" si="11"/>
        <v>3</v>
      </c>
      <c r="BF21" s="6">
        <f t="shared" si="12"/>
        <v>0</v>
      </c>
    </row>
    <row r="22" spans="1:58" x14ac:dyDescent="0.3">
      <c r="A22">
        <v>18</v>
      </c>
      <c r="D22" s="54" t="s">
        <v>268</v>
      </c>
      <c r="E22" s="2"/>
      <c r="F22" s="2" t="s">
        <v>151</v>
      </c>
      <c r="G22" s="2"/>
      <c r="H22" s="2"/>
      <c r="I22" s="2"/>
      <c r="J22" s="2"/>
      <c r="K22" s="2"/>
      <c r="L22" s="2"/>
      <c r="M22" s="2"/>
      <c r="N22" s="2" t="s">
        <v>151</v>
      </c>
      <c r="O22" s="2"/>
      <c r="P22" s="2"/>
      <c r="Q22" s="2"/>
      <c r="R22" s="2"/>
      <c r="S22" s="2"/>
      <c r="T22" s="2"/>
      <c r="U22" s="2"/>
      <c r="AC22" s="15">
        <f t="shared" si="0"/>
        <v>2</v>
      </c>
      <c r="AE22" s="49" t="str">
        <f t="shared" si="4"/>
        <v>Patient Preference</v>
      </c>
      <c r="AF22" s="45" t="str">
        <f t="shared" si="4"/>
        <v/>
      </c>
      <c r="AG22" s="45" t="str">
        <f t="shared" si="4"/>
        <v>D</v>
      </c>
      <c r="AH22" s="45" t="str">
        <f t="shared" si="4"/>
        <v/>
      </c>
      <c r="AI22" s="45"/>
      <c r="AJ22" s="45" t="str">
        <f t="shared" si="5"/>
        <v/>
      </c>
      <c r="AK22" s="45" t="str">
        <f t="shared" si="5"/>
        <v>D</v>
      </c>
      <c r="AL22" s="45"/>
      <c r="AM22" s="45" t="str">
        <f t="shared" si="6"/>
        <v>D</v>
      </c>
      <c r="AN22" s="45" t="str">
        <f t="shared" si="6"/>
        <v/>
      </c>
      <c r="AO22" s="44"/>
      <c r="AP22" s="45" t="str">
        <f t="shared" si="7"/>
        <v>D</v>
      </c>
      <c r="AQ22" s="45" t="str">
        <f t="shared" si="7"/>
        <v>D</v>
      </c>
      <c r="AR22" s="45" t="str">
        <f t="shared" si="7"/>
        <v/>
      </c>
      <c r="AS22" s="45" t="str">
        <f t="shared" si="7"/>
        <v>D</v>
      </c>
      <c r="AT22" s="45" t="str">
        <f t="shared" si="7"/>
        <v/>
      </c>
      <c r="AU22" s="45" t="str">
        <f t="shared" si="7"/>
        <v>D</v>
      </c>
      <c r="AV22" s="45"/>
      <c r="AW22" s="45" t="str">
        <f t="shared" si="8"/>
        <v>D</v>
      </c>
      <c r="AX22" s="45" t="str">
        <f t="shared" si="8"/>
        <v/>
      </c>
      <c r="AY22" s="45" t="str">
        <f t="shared" si="8"/>
        <v/>
      </c>
      <c r="AZ22" s="45" t="str">
        <f t="shared" si="8"/>
        <v>D</v>
      </c>
      <c r="BA22" s="45" t="str">
        <f t="shared" si="8"/>
        <v/>
      </c>
      <c r="BB22" s="44"/>
      <c r="BC22" s="45" t="str">
        <f t="shared" si="9"/>
        <v/>
      </c>
      <c r="BD22" s="22"/>
      <c r="BE22" s="23"/>
      <c r="BF22" s="29"/>
    </row>
    <row r="23" spans="1:58" x14ac:dyDescent="0.3">
      <c r="A23">
        <v>19</v>
      </c>
      <c r="D23" s="54" t="s">
        <v>269</v>
      </c>
      <c r="E23" s="2"/>
      <c r="F23" s="2"/>
      <c r="G23" s="2"/>
      <c r="H23" s="2"/>
      <c r="I23" s="2"/>
      <c r="J23" s="2"/>
      <c r="K23" s="2"/>
      <c r="L23" s="2"/>
      <c r="M23" s="2"/>
      <c r="N23" s="2"/>
      <c r="O23" s="2"/>
      <c r="P23" s="2"/>
      <c r="Q23" s="2"/>
      <c r="R23" s="2"/>
      <c r="S23" s="2" t="s">
        <v>151</v>
      </c>
      <c r="T23" s="2"/>
      <c r="U23" s="2"/>
      <c r="X23" s="10" t="s">
        <v>151</v>
      </c>
      <c r="AC23" s="15">
        <f t="shared" si="0"/>
        <v>2</v>
      </c>
      <c r="AE23" s="50" t="str">
        <f t="shared" si="4"/>
        <v>Service Quality</v>
      </c>
      <c r="AF23" s="2" t="str">
        <f t="shared" si="4"/>
        <v/>
      </c>
      <c r="AG23" s="2" t="str">
        <f t="shared" si="4"/>
        <v>Mo</v>
      </c>
      <c r="AH23" s="2" t="str">
        <f t="shared" si="4"/>
        <v>I</v>
      </c>
      <c r="AI23" s="20"/>
      <c r="AJ23" s="2" t="str">
        <f t="shared" si="5"/>
        <v>I</v>
      </c>
      <c r="AK23" s="2" t="str">
        <f t="shared" si="5"/>
        <v/>
      </c>
      <c r="AL23" s="20"/>
      <c r="AM23" s="2" t="str">
        <f t="shared" si="6"/>
        <v/>
      </c>
      <c r="AN23" s="2" t="str">
        <f t="shared" si="6"/>
        <v>I</v>
      </c>
      <c r="AO23" s="40"/>
      <c r="AP23" s="2" t="str">
        <f t="shared" si="7"/>
        <v/>
      </c>
      <c r="AQ23" s="2" t="str">
        <f t="shared" si="7"/>
        <v>I</v>
      </c>
      <c r="AR23" s="2" t="str">
        <f t="shared" si="7"/>
        <v/>
      </c>
      <c r="AS23" s="2" t="str">
        <f t="shared" si="7"/>
        <v/>
      </c>
      <c r="AT23" s="2" t="str">
        <f t="shared" si="7"/>
        <v/>
      </c>
      <c r="AU23" s="2" t="str">
        <f t="shared" si="7"/>
        <v/>
      </c>
      <c r="AV23" s="20"/>
      <c r="AW23" s="2" t="str">
        <f t="shared" si="8"/>
        <v/>
      </c>
      <c r="AX23" s="2" t="str">
        <f t="shared" si="8"/>
        <v/>
      </c>
      <c r="AY23" s="2" t="str">
        <f t="shared" si="8"/>
        <v>I</v>
      </c>
      <c r="AZ23" s="2" t="str">
        <f t="shared" si="8"/>
        <v/>
      </c>
      <c r="BA23" s="2" t="str">
        <f t="shared" si="8"/>
        <v>I</v>
      </c>
      <c r="BB23" s="40"/>
      <c r="BC23" s="2" t="str">
        <f t="shared" si="9"/>
        <v>I</v>
      </c>
      <c r="BD23" s="21">
        <f t="shared" si="10"/>
        <v>7</v>
      </c>
      <c r="BE23">
        <f t="shared" si="11"/>
        <v>1</v>
      </c>
      <c r="BF23" s="6">
        <f t="shared" si="12"/>
        <v>0</v>
      </c>
    </row>
    <row r="24" spans="1:58" x14ac:dyDescent="0.3">
      <c r="A24">
        <v>20</v>
      </c>
      <c r="D24" s="54" t="s">
        <v>270</v>
      </c>
      <c r="E24" s="2"/>
      <c r="F24" s="2"/>
      <c r="G24" s="2"/>
      <c r="H24" s="2"/>
      <c r="I24" s="2"/>
      <c r="J24" s="2"/>
      <c r="K24" s="2"/>
      <c r="L24" s="2"/>
      <c r="M24" s="2" t="s">
        <v>151</v>
      </c>
      <c r="N24" s="2"/>
      <c r="O24" s="2"/>
      <c r="P24" s="2"/>
      <c r="Q24" s="2"/>
      <c r="R24" s="2"/>
      <c r="S24" s="2"/>
      <c r="T24" s="2"/>
      <c r="U24" s="2"/>
      <c r="AC24" s="15">
        <f t="shared" si="0"/>
        <v>1</v>
      </c>
      <c r="AE24" s="50" t="str">
        <f t="shared" si="4"/>
        <v>Accessibility</v>
      </c>
      <c r="AF24" s="2" t="str">
        <f t="shared" si="4"/>
        <v/>
      </c>
      <c r="AG24" s="2" t="str">
        <f t="shared" si="4"/>
        <v>I</v>
      </c>
      <c r="AH24" s="2" t="str">
        <f t="shared" si="4"/>
        <v/>
      </c>
      <c r="AI24" s="20"/>
      <c r="AJ24" s="2" t="str">
        <f t="shared" si="5"/>
        <v/>
      </c>
      <c r="AK24" s="2" t="str">
        <f t="shared" si="5"/>
        <v/>
      </c>
      <c r="AL24" s="20"/>
      <c r="AM24" s="2" t="str">
        <f t="shared" si="6"/>
        <v/>
      </c>
      <c r="AN24" s="2" t="str">
        <f t="shared" si="6"/>
        <v>I</v>
      </c>
      <c r="AO24" s="40"/>
      <c r="AP24" s="2" t="str">
        <f t="shared" si="7"/>
        <v>I</v>
      </c>
      <c r="AQ24" s="2" t="str">
        <f t="shared" si="7"/>
        <v/>
      </c>
      <c r="AR24" s="2" t="str">
        <f t="shared" si="7"/>
        <v/>
      </c>
      <c r="AS24" s="2" t="str">
        <f t="shared" si="7"/>
        <v>Mo</v>
      </c>
      <c r="AT24" s="2" t="str">
        <f t="shared" si="7"/>
        <v/>
      </c>
      <c r="AU24" s="2" t="str">
        <f t="shared" si="7"/>
        <v/>
      </c>
      <c r="AV24" s="20"/>
      <c r="AW24" s="2" t="str">
        <f t="shared" si="8"/>
        <v>I</v>
      </c>
      <c r="AX24" s="2" t="str">
        <f t="shared" si="8"/>
        <v/>
      </c>
      <c r="AY24" s="2" t="str">
        <f t="shared" si="8"/>
        <v/>
      </c>
      <c r="AZ24" s="2" t="str">
        <f t="shared" si="8"/>
        <v>I</v>
      </c>
      <c r="BA24" s="2" t="str">
        <f t="shared" si="8"/>
        <v/>
      </c>
      <c r="BB24" s="40"/>
      <c r="BC24" s="2" t="str">
        <f t="shared" si="9"/>
        <v/>
      </c>
      <c r="BD24" s="21">
        <f t="shared" si="10"/>
        <v>5</v>
      </c>
      <c r="BE24">
        <f t="shared" si="11"/>
        <v>1</v>
      </c>
      <c r="BF24" s="6">
        <f t="shared" si="12"/>
        <v>0</v>
      </c>
    </row>
    <row r="25" spans="1:58" x14ac:dyDescent="0.3">
      <c r="A25">
        <v>21</v>
      </c>
      <c r="D25" s="54" t="s">
        <v>271</v>
      </c>
      <c r="E25" s="2"/>
      <c r="F25" s="2"/>
      <c r="G25" s="2"/>
      <c r="H25" s="2"/>
      <c r="I25" s="2"/>
      <c r="J25" s="2"/>
      <c r="K25" s="2"/>
      <c r="L25" s="2"/>
      <c r="M25" s="2"/>
      <c r="N25" s="2"/>
      <c r="O25" s="2"/>
      <c r="P25" s="2"/>
      <c r="Q25" s="2"/>
      <c r="R25" s="2"/>
      <c r="S25" s="2"/>
      <c r="T25" s="2"/>
      <c r="U25" s="2"/>
      <c r="W25" s="10" t="s">
        <v>151</v>
      </c>
      <c r="AC25" s="15">
        <f t="shared" si="0"/>
        <v>1</v>
      </c>
      <c r="AE25" s="50" t="str">
        <f t="shared" si="4"/>
        <v>Similarity To F2F Interaction</v>
      </c>
      <c r="AF25" s="2" t="str">
        <f t="shared" si="4"/>
        <v/>
      </c>
      <c r="AG25" s="2" t="str">
        <f t="shared" si="4"/>
        <v/>
      </c>
      <c r="AH25" s="2" t="str">
        <f t="shared" si="4"/>
        <v/>
      </c>
      <c r="AI25" s="20"/>
      <c r="AJ25" s="2" t="str">
        <f t="shared" si="5"/>
        <v>I</v>
      </c>
      <c r="AK25" s="2" t="str">
        <f t="shared" si="5"/>
        <v/>
      </c>
      <c r="AL25" s="20"/>
      <c r="AM25" s="2" t="str">
        <f t="shared" si="6"/>
        <v>I</v>
      </c>
      <c r="AN25" s="2" t="str">
        <f t="shared" si="6"/>
        <v/>
      </c>
      <c r="AO25" s="40"/>
      <c r="AP25" s="2" t="str">
        <f t="shared" si="7"/>
        <v/>
      </c>
      <c r="AQ25" s="2" t="str">
        <f t="shared" si="7"/>
        <v/>
      </c>
      <c r="AR25" s="2" t="str">
        <f t="shared" si="7"/>
        <v/>
      </c>
      <c r="AS25" s="2" t="str">
        <f t="shared" si="7"/>
        <v/>
      </c>
      <c r="AT25" s="2" t="str">
        <f t="shared" si="7"/>
        <v/>
      </c>
      <c r="AU25" s="2" t="str">
        <f t="shared" si="7"/>
        <v/>
      </c>
      <c r="AV25" s="20"/>
      <c r="AW25" s="2" t="str">
        <f t="shared" si="8"/>
        <v>I</v>
      </c>
      <c r="AX25" s="2" t="str">
        <f t="shared" si="8"/>
        <v/>
      </c>
      <c r="AY25" s="2" t="str">
        <f t="shared" si="8"/>
        <v/>
      </c>
      <c r="AZ25" s="2" t="str">
        <f t="shared" si="8"/>
        <v>I</v>
      </c>
      <c r="BA25" s="2" t="str">
        <f t="shared" si="8"/>
        <v/>
      </c>
      <c r="BB25" s="40"/>
      <c r="BC25" s="2" t="str">
        <f t="shared" si="9"/>
        <v>I</v>
      </c>
      <c r="BD25" s="21">
        <f t="shared" si="10"/>
        <v>5</v>
      </c>
      <c r="BE25">
        <f t="shared" si="11"/>
        <v>0</v>
      </c>
      <c r="BF25" s="6">
        <f t="shared" si="12"/>
        <v>0</v>
      </c>
    </row>
    <row r="26" spans="1:58" x14ac:dyDescent="0.3">
      <c r="A26">
        <v>22</v>
      </c>
      <c r="D26" s="54" t="s">
        <v>272</v>
      </c>
      <c r="E26" s="2"/>
      <c r="F26" s="2"/>
      <c r="G26" s="2"/>
      <c r="H26" s="2"/>
      <c r="I26" s="2"/>
      <c r="J26" s="2"/>
      <c r="K26" s="2"/>
      <c r="L26" s="2"/>
      <c r="M26" s="2"/>
      <c r="N26" s="2"/>
      <c r="O26" s="2"/>
      <c r="P26" s="2"/>
      <c r="Q26" s="2"/>
      <c r="R26" s="2"/>
      <c r="S26" s="2"/>
      <c r="T26" s="2"/>
      <c r="U26" s="2"/>
      <c r="X26" s="10" t="s">
        <v>151</v>
      </c>
      <c r="AC26" s="15">
        <f t="shared" si="0"/>
        <v>1</v>
      </c>
      <c r="AE26" s="50" t="str">
        <f t="shared" si="4"/>
        <v>Perceived Usefulness</v>
      </c>
      <c r="AF26" s="41" t="str">
        <f t="shared" si="4"/>
        <v>I</v>
      </c>
      <c r="AG26" s="2" t="str">
        <f t="shared" si="4"/>
        <v/>
      </c>
      <c r="AH26" s="2" t="str">
        <f t="shared" si="4"/>
        <v>I</v>
      </c>
      <c r="AI26" s="20"/>
      <c r="AJ26" s="2" t="str">
        <f t="shared" si="5"/>
        <v/>
      </c>
      <c r="AK26" s="2" t="str">
        <f t="shared" si="5"/>
        <v/>
      </c>
      <c r="AL26" s="20"/>
      <c r="AM26" s="2" t="str">
        <f t="shared" si="6"/>
        <v/>
      </c>
      <c r="AN26" s="2" t="str">
        <f t="shared" si="6"/>
        <v>I</v>
      </c>
      <c r="AO26" s="40"/>
      <c r="AP26" s="2" t="str">
        <f t="shared" si="7"/>
        <v/>
      </c>
      <c r="AQ26" s="2" t="str">
        <f t="shared" si="7"/>
        <v/>
      </c>
      <c r="AR26" s="2" t="str">
        <f t="shared" si="7"/>
        <v/>
      </c>
      <c r="AS26" s="2" t="str">
        <f t="shared" si="7"/>
        <v>I</v>
      </c>
      <c r="AT26" s="2" t="str">
        <f t="shared" si="7"/>
        <v/>
      </c>
      <c r="AU26" s="2" t="str">
        <f t="shared" si="7"/>
        <v/>
      </c>
      <c r="AV26" s="20"/>
      <c r="AW26" s="2" t="str">
        <f t="shared" si="8"/>
        <v/>
      </c>
      <c r="AX26" s="2" t="str">
        <f t="shared" si="8"/>
        <v/>
      </c>
      <c r="AY26" s="2" t="str">
        <f t="shared" si="8"/>
        <v/>
      </c>
      <c r="AZ26" s="2" t="str">
        <f t="shared" si="8"/>
        <v/>
      </c>
      <c r="BA26" s="2" t="str">
        <f t="shared" si="8"/>
        <v/>
      </c>
      <c r="BB26" s="40"/>
      <c r="BC26" s="2" t="str">
        <f t="shared" si="9"/>
        <v/>
      </c>
      <c r="BD26" s="21">
        <f t="shared" si="10"/>
        <v>4</v>
      </c>
      <c r="BE26">
        <f t="shared" si="11"/>
        <v>0</v>
      </c>
      <c r="BF26" s="6">
        <f t="shared" si="12"/>
        <v>0</v>
      </c>
    </row>
    <row r="27" spans="1:58" x14ac:dyDescent="0.3">
      <c r="A27">
        <v>23</v>
      </c>
      <c r="D27" s="54" t="s">
        <v>273</v>
      </c>
      <c r="E27" s="2"/>
      <c r="F27" s="2"/>
      <c r="G27" s="2"/>
      <c r="H27" s="2"/>
      <c r="I27" s="2"/>
      <c r="J27" s="2"/>
      <c r="K27" s="2"/>
      <c r="L27" s="2"/>
      <c r="M27" s="2"/>
      <c r="N27" s="2"/>
      <c r="O27" s="2"/>
      <c r="P27" s="2" t="s">
        <v>151</v>
      </c>
      <c r="Q27" s="2"/>
      <c r="R27" s="2"/>
      <c r="S27" s="2"/>
      <c r="T27" s="2"/>
      <c r="U27" s="2"/>
      <c r="AC27" s="15">
        <f t="shared" si="0"/>
        <v>1</v>
      </c>
      <c r="AE27" s="51" t="str">
        <f t="shared" si="4"/>
        <v>Intention Of Use</v>
      </c>
      <c r="AF27" s="42" t="str">
        <f t="shared" si="4"/>
        <v/>
      </c>
      <c r="AG27" s="9" t="str">
        <f t="shared" si="4"/>
        <v/>
      </c>
      <c r="AH27" s="9" t="str">
        <f t="shared" si="4"/>
        <v>Me</v>
      </c>
      <c r="AI27" s="31"/>
      <c r="AJ27" s="9" t="str">
        <f t="shared" si="5"/>
        <v/>
      </c>
      <c r="AK27" s="9" t="str">
        <f t="shared" si="5"/>
        <v>Me</v>
      </c>
      <c r="AL27" s="31"/>
      <c r="AM27" s="9" t="str">
        <f t="shared" si="6"/>
        <v/>
      </c>
      <c r="AN27" s="9" t="str">
        <f t="shared" si="6"/>
        <v/>
      </c>
      <c r="AO27" s="43"/>
      <c r="AP27" s="9" t="str">
        <f t="shared" si="7"/>
        <v/>
      </c>
      <c r="AQ27" s="9" t="str">
        <f t="shared" si="7"/>
        <v>Mo</v>
      </c>
      <c r="AR27" s="9" t="str">
        <f t="shared" si="7"/>
        <v/>
      </c>
      <c r="AS27" s="9" t="str">
        <f t="shared" si="7"/>
        <v/>
      </c>
      <c r="AT27" s="9" t="str">
        <f t="shared" si="7"/>
        <v/>
      </c>
      <c r="AU27" s="9" t="str">
        <f t="shared" si="7"/>
        <v/>
      </c>
      <c r="AV27" s="31"/>
      <c r="AW27" s="9" t="str">
        <f t="shared" si="8"/>
        <v/>
      </c>
      <c r="AX27" s="9" t="str">
        <f t="shared" si="8"/>
        <v/>
      </c>
      <c r="AY27" s="9" t="str">
        <f t="shared" si="8"/>
        <v/>
      </c>
      <c r="AZ27" s="9" t="str">
        <f t="shared" si="8"/>
        <v/>
      </c>
      <c r="BA27" s="9" t="str">
        <f t="shared" si="8"/>
        <v/>
      </c>
      <c r="BB27" s="43"/>
      <c r="BC27" s="9" t="str">
        <f t="shared" si="9"/>
        <v/>
      </c>
      <c r="BD27" s="32">
        <f t="shared" si="10"/>
        <v>0</v>
      </c>
      <c r="BE27" s="33">
        <f t="shared" si="11"/>
        <v>1</v>
      </c>
      <c r="BF27" s="34">
        <f>COUNTIF(AF27:BC27,"me")</f>
        <v>2</v>
      </c>
    </row>
    <row r="28" spans="1:58" x14ac:dyDescent="0.3">
      <c r="A28">
        <v>24</v>
      </c>
      <c r="D28" s="54" t="s">
        <v>274</v>
      </c>
      <c r="E28" s="2" t="s">
        <v>151</v>
      </c>
      <c r="F28" s="2"/>
      <c r="G28" s="2"/>
      <c r="H28" s="2"/>
      <c r="I28" s="2"/>
      <c r="J28" s="2"/>
      <c r="K28" s="2"/>
      <c r="L28" s="2"/>
      <c r="M28" s="2"/>
      <c r="N28" s="2"/>
      <c r="O28" s="2"/>
      <c r="P28" s="2"/>
      <c r="Q28" s="2"/>
      <c r="R28" s="2"/>
      <c r="S28" s="2"/>
      <c r="T28" s="2"/>
      <c r="U28" s="2"/>
      <c r="AC28" s="15">
        <f t="shared" si="0"/>
        <v>1</v>
      </c>
    </row>
    <row r="29" spans="1:58" x14ac:dyDescent="0.3">
      <c r="A29">
        <v>25</v>
      </c>
      <c r="D29" s="54" t="s">
        <v>275</v>
      </c>
      <c r="E29" s="2"/>
      <c r="F29" s="2" t="s">
        <v>151</v>
      </c>
      <c r="G29" s="2"/>
      <c r="H29" s="2"/>
      <c r="I29" s="2"/>
      <c r="J29" s="2"/>
      <c r="K29" s="2"/>
      <c r="L29" s="2"/>
      <c r="M29" s="2"/>
      <c r="N29" s="2"/>
      <c r="O29" s="2"/>
      <c r="P29" s="2"/>
      <c r="Q29" s="2"/>
      <c r="R29" s="2"/>
      <c r="S29" s="2"/>
      <c r="T29" s="2"/>
      <c r="U29" s="2"/>
      <c r="AC29" s="15">
        <f t="shared" si="0"/>
        <v>1</v>
      </c>
    </row>
    <row r="30" spans="1:58" x14ac:dyDescent="0.3">
      <c r="A30">
        <v>26</v>
      </c>
      <c r="D30" s="54" t="s">
        <v>276</v>
      </c>
      <c r="E30" s="2"/>
      <c r="F30" s="2" t="s">
        <v>151</v>
      </c>
      <c r="G30" s="2"/>
      <c r="H30" s="2"/>
      <c r="I30" s="2"/>
      <c r="J30" s="2"/>
      <c r="K30" s="2"/>
      <c r="L30" s="2"/>
      <c r="M30" s="2"/>
      <c r="N30" s="2"/>
      <c r="O30" s="2"/>
      <c r="P30" s="2"/>
      <c r="Q30" s="2"/>
      <c r="R30" s="2"/>
      <c r="S30" s="2"/>
      <c r="T30" s="2"/>
      <c r="U30" s="2"/>
      <c r="AC30" s="15">
        <f t="shared" si="0"/>
        <v>1</v>
      </c>
    </row>
    <row r="31" spans="1:58" x14ac:dyDescent="0.3">
      <c r="A31">
        <v>27</v>
      </c>
      <c r="D31" s="54" t="s">
        <v>277</v>
      </c>
      <c r="E31" s="2"/>
      <c r="F31" s="2" t="s">
        <v>151</v>
      </c>
      <c r="G31" s="2"/>
      <c r="H31" s="2"/>
      <c r="I31" s="2"/>
      <c r="J31" s="2"/>
      <c r="K31" s="2"/>
      <c r="L31" s="2"/>
      <c r="M31" s="2"/>
      <c r="N31" s="2"/>
      <c r="O31" s="2"/>
      <c r="P31" s="2"/>
      <c r="Q31" s="2"/>
      <c r="R31" s="2"/>
      <c r="S31" s="2"/>
      <c r="T31" s="2"/>
      <c r="U31" s="2"/>
      <c r="AC31" s="15">
        <f t="shared" si="0"/>
        <v>1</v>
      </c>
    </row>
    <row r="32" spans="1:58" x14ac:dyDescent="0.3">
      <c r="A32">
        <v>28</v>
      </c>
      <c r="D32" s="54" t="s">
        <v>278</v>
      </c>
      <c r="E32" s="2"/>
      <c r="F32" s="2" t="s">
        <v>151</v>
      </c>
      <c r="G32" s="2"/>
      <c r="H32" s="2"/>
      <c r="I32" s="2"/>
      <c r="J32" s="2"/>
      <c r="K32" s="2"/>
      <c r="L32" s="2"/>
      <c r="M32" s="2"/>
      <c r="N32" s="2"/>
      <c r="O32" s="2"/>
      <c r="P32" s="2"/>
      <c r="Q32" s="2"/>
      <c r="R32" s="2"/>
      <c r="S32" s="2"/>
      <c r="T32" s="2"/>
      <c r="U32" s="2"/>
      <c r="AC32" s="15">
        <f t="shared" si="0"/>
        <v>1</v>
      </c>
    </row>
    <row r="33" spans="1:58" x14ac:dyDescent="0.3">
      <c r="A33">
        <v>29</v>
      </c>
      <c r="D33" s="54" t="s">
        <v>279</v>
      </c>
      <c r="E33" s="2"/>
      <c r="F33" s="2"/>
      <c r="G33" s="2" t="s">
        <v>151</v>
      </c>
      <c r="H33" s="2"/>
      <c r="I33" s="2"/>
      <c r="J33" s="2"/>
      <c r="K33" s="2"/>
      <c r="L33" s="2"/>
      <c r="M33" s="2"/>
      <c r="N33" s="2"/>
      <c r="O33" s="2"/>
      <c r="P33" s="2"/>
      <c r="Q33" s="2"/>
      <c r="R33" s="2"/>
      <c r="S33" s="2"/>
      <c r="T33" s="2"/>
      <c r="U33" s="2"/>
      <c r="AC33" s="15">
        <f t="shared" si="0"/>
        <v>1</v>
      </c>
    </row>
    <row r="34" spans="1:58" x14ac:dyDescent="0.3">
      <c r="A34">
        <v>30</v>
      </c>
      <c r="D34" s="54" t="s">
        <v>280</v>
      </c>
      <c r="E34" s="2"/>
      <c r="F34" s="2"/>
      <c r="G34" s="2" t="s">
        <v>151</v>
      </c>
      <c r="H34" s="2"/>
      <c r="I34" s="2"/>
      <c r="J34" s="2"/>
      <c r="K34" s="2"/>
      <c r="L34" s="2"/>
      <c r="M34" s="2"/>
      <c r="N34" s="2"/>
      <c r="O34" s="2"/>
      <c r="P34" s="2"/>
      <c r="Q34" s="2"/>
      <c r="R34" s="2"/>
      <c r="S34" s="2"/>
      <c r="T34" s="2"/>
      <c r="U34" s="2"/>
      <c r="AC34" s="15">
        <f t="shared" si="0"/>
        <v>1</v>
      </c>
      <c r="AE34" s="24"/>
      <c r="AF34" s="52" t="s">
        <v>173</v>
      </c>
      <c r="AG34" s="53" t="s">
        <v>172</v>
      </c>
      <c r="AH34" s="53" t="s">
        <v>171</v>
      </c>
      <c r="AI34" s="53" t="s">
        <v>169</v>
      </c>
      <c r="AJ34" s="53" t="s">
        <v>168</v>
      </c>
      <c r="AK34" s="53" t="s">
        <v>166</v>
      </c>
      <c r="AL34" s="53" t="s">
        <v>165</v>
      </c>
      <c r="AM34" s="53" t="s">
        <v>163</v>
      </c>
      <c r="AN34" s="53" t="s">
        <v>162</v>
      </c>
      <c r="AO34" s="53" t="s">
        <v>161</v>
      </c>
      <c r="AP34" s="53" t="s">
        <v>160</v>
      </c>
      <c r="AQ34" s="53" t="s">
        <v>159</v>
      </c>
      <c r="AR34" s="53" t="s">
        <v>158</v>
      </c>
      <c r="AS34" s="53" t="s">
        <v>206</v>
      </c>
      <c r="AT34" s="53" t="s">
        <v>207</v>
      </c>
      <c r="AU34" s="53" t="s">
        <v>208</v>
      </c>
      <c r="AV34" s="53" t="s">
        <v>209</v>
      </c>
      <c r="AW34" s="53" t="s">
        <v>210</v>
      </c>
      <c r="AX34" s="53" t="s">
        <v>212</v>
      </c>
      <c r="AY34" s="52" t="s">
        <v>250</v>
      </c>
      <c r="AZ34" s="53" t="s">
        <v>248</v>
      </c>
      <c r="BA34" s="53" t="s">
        <v>249</v>
      </c>
      <c r="BB34" s="58"/>
      <c r="BC34" s="57"/>
      <c r="BD34" s="10"/>
      <c r="BE34" s="10"/>
      <c r="BF34" s="10"/>
    </row>
    <row r="35" spans="1:58" x14ac:dyDescent="0.3">
      <c r="A35">
        <v>31</v>
      </c>
      <c r="D35" s="54" t="s">
        <v>281</v>
      </c>
      <c r="E35" s="2"/>
      <c r="F35" s="2"/>
      <c r="G35" s="2"/>
      <c r="H35" s="2"/>
      <c r="I35" s="2" t="s">
        <v>151</v>
      </c>
      <c r="J35" s="2"/>
      <c r="K35" s="2"/>
      <c r="L35" s="2"/>
      <c r="M35" s="2"/>
      <c r="N35" s="2"/>
      <c r="O35" s="2"/>
      <c r="P35" s="2"/>
      <c r="Q35" s="2"/>
      <c r="R35" s="2"/>
      <c r="S35" s="2"/>
      <c r="T35" s="2"/>
      <c r="U35" s="2"/>
      <c r="AC35" s="15">
        <f t="shared" si="0"/>
        <v>1</v>
      </c>
      <c r="AE35" s="49" t="s">
        <v>252</v>
      </c>
      <c r="AF35" s="45" t="s">
        <v>294</v>
      </c>
      <c r="AG35" s="45" t="s">
        <v>294</v>
      </c>
      <c r="AH35" s="45" t="s">
        <v>294</v>
      </c>
      <c r="AI35" s="45" t="s">
        <v>294</v>
      </c>
      <c r="AJ35" s="45" t="s">
        <v>294</v>
      </c>
      <c r="AK35" s="45" t="s">
        <v>249</v>
      </c>
      <c r="AL35" s="45" t="s">
        <v>294</v>
      </c>
      <c r="AM35" s="45" t="s">
        <v>294</v>
      </c>
      <c r="AN35" s="45" t="s">
        <v>294</v>
      </c>
      <c r="AO35" s="62" t="s">
        <v>294</v>
      </c>
      <c r="AP35" s="45" t="s">
        <v>249</v>
      </c>
      <c r="AQ35" s="45" t="s">
        <v>294</v>
      </c>
      <c r="AR35" s="45" t="s">
        <v>294</v>
      </c>
      <c r="AS35" s="45" t="s">
        <v>294</v>
      </c>
      <c r="AT35" s="45" t="s">
        <v>249</v>
      </c>
      <c r="AU35" s="45" t="s">
        <v>294</v>
      </c>
      <c r="AV35" s="45" t="s">
        <v>294</v>
      </c>
      <c r="AW35" s="45" t="s">
        <v>294</v>
      </c>
      <c r="AX35" s="45" t="s">
        <v>294</v>
      </c>
      <c r="AY35" s="60"/>
      <c r="AZ35" s="70"/>
      <c r="BA35" s="64">
        <v>3</v>
      </c>
      <c r="BB35" s="59"/>
      <c r="BC35" s="2"/>
    </row>
    <row r="36" spans="1:58" x14ac:dyDescent="0.3">
      <c r="A36">
        <v>32</v>
      </c>
      <c r="D36" s="54" t="s">
        <v>282</v>
      </c>
      <c r="E36" s="2"/>
      <c r="F36" s="2"/>
      <c r="G36" s="2"/>
      <c r="H36" s="2"/>
      <c r="I36" s="2"/>
      <c r="J36" s="2" t="s">
        <v>151</v>
      </c>
      <c r="K36" s="2"/>
      <c r="L36" s="2"/>
      <c r="M36" s="2"/>
      <c r="N36" s="2"/>
      <c r="O36" s="2"/>
      <c r="P36" s="2"/>
      <c r="Q36" s="2"/>
      <c r="R36" s="2"/>
      <c r="S36" s="2"/>
      <c r="T36" s="2"/>
      <c r="U36" s="2"/>
      <c r="AC36" s="15">
        <f t="shared" si="0"/>
        <v>1</v>
      </c>
      <c r="AE36" s="50" t="s">
        <v>253</v>
      </c>
      <c r="AF36" s="2" t="s">
        <v>295</v>
      </c>
      <c r="AG36" s="2" t="s">
        <v>250</v>
      </c>
      <c r="AH36" s="2" t="s">
        <v>295</v>
      </c>
      <c r="AI36" s="2" t="s">
        <v>295</v>
      </c>
      <c r="AJ36" s="2" t="s">
        <v>250</v>
      </c>
      <c r="AK36" s="2" t="s">
        <v>250</v>
      </c>
      <c r="AL36" s="2" t="s">
        <v>250</v>
      </c>
      <c r="AM36" s="2" t="s">
        <v>295</v>
      </c>
      <c r="AN36" s="2" t="s">
        <v>250</v>
      </c>
      <c r="AO36" s="63" t="s">
        <v>250</v>
      </c>
      <c r="AP36" s="2" t="s">
        <v>248</v>
      </c>
      <c r="AQ36" s="2" t="s">
        <v>250</v>
      </c>
      <c r="AR36" s="2" t="s">
        <v>295</v>
      </c>
      <c r="AS36" s="2" t="s">
        <v>250</v>
      </c>
      <c r="AT36" s="2" t="s">
        <v>295</v>
      </c>
      <c r="AU36" s="2" t="s">
        <v>250</v>
      </c>
      <c r="AV36" s="2" t="s">
        <v>250</v>
      </c>
      <c r="AW36" s="2" t="s">
        <v>250</v>
      </c>
      <c r="AX36" s="2" t="s">
        <v>248</v>
      </c>
      <c r="AY36" s="61">
        <v>11</v>
      </c>
      <c r="AZ36" s="2">
        <v>2</v>
      </c>
      <c r="BA36" s="2">
        <v>0</v>
      </c>
      <c r="BB36" s="59"/>
      <c r="BC36" s="2"/>
    </row>
    <row r="37" spans="1:58" x14ac:dyDescent="0.3">
      <c r="A37">
        <v>33</v>
      </c>
      <c r="D37" s="54" t="s">
        <v>283</v>
      </c>
      <c r="E37" s="2"/>
      <c r="F37" s="2"/>
      <c r="G37" s="2"/>
      <c r="H37" s="2"/>
      <c r="I37" s="2"/>
      <c r="J37" s="2" t="s">
        <v>151</v>
      </c>
      <c r="K37" s="2"/>
      <c r="L37" s="2"/>
      <c r="M37" s="2"/>
      <c r="N37" s="2"/>
      <c r="O37" s="2"/>
      <c r="P37" s="2"/>
      <c r="Q37" s="2"/>
      <c r="R37" s="2"/>
      <c r="S37" s="2"/>
      <c r="T37" s="2"/>
      <c r="U37" s="2"/>
      <c r="AC37" s="15">
        <f t="shared" si="0"/>
        <v>1</v>
      </c>
      <c r="AE37" s="50" t="s">
        <v>254</v>
      </c>
      <c r="AF37" s="2" t="s">
        <v>295</v>
      </c>
      <c r="AG37" s="2" t="s">
        <v>295</v>
      </c>
      <c r="AH37" s="2" t="s">
        <v>295</v>
      </c>
      <c r="AI37" s="2" t="s">
        <v>295</v>
      </c>
      <c r="AJ37" s="2" t="s">
        <v>295</v>
      </c>
      <c r="AK37" s="2" t="s">
        <v>250</v>
      </c>
      <c r="AL37" s="2" t="s">
        <v>295</v>
      </c>
      <c r="AM37" s="2" t="s">
        <v>250</v>
      </c>
      <c r="AN37" s="2" t="s">
        <v>250</v>
      </c>
      <c r="AO37" s="63" t="s">
        <v>250</v>
      </c>
      <c r="AP37" s="2" t="s">
        <v>250</v>
      </c>
      <c r="AQ37" s="2" t="s">
        <v>250</v>
      </c>
      <c r="AR37" s="2" t="s">
        <v>295</v>
      </c>
      <c r="AS37" s="2" t="s">
        <v>250</v>
      </c>
      <c r="AT37" s="2" t="s">
        <v>248</v>
      </c>
      <c r="AU37" s="2" t="s">
        <v>248</v>
      </c>
      <c r="AV37" s="2" t="s">
        <v>295</v>
      </c>
      <c r="AW37" s="2" t="s">
        <v>250</v>
      </c>
      <c r="AX37" s="2" t="s">
        <v>248</v>
      </c>
      <c r="AY37" s="61">
        <v>8</v>
      </c>
      <c r="AZ37" s="2">
        <v>3</v>
      </c>
      <c r="BA37" s="2">
        <v>0</v>
      </c>
      <c r="BB37" s="59"/>
      <c r="BC37" s="2"/>
    </row>
    <row r="38" spans="1:58" x14ac:dyDescent="0.3">
      <c r="A38">
        <v>34</v>
      </c>
      <c r="D38" s="54" t="s">
        <v>284</v>
      </c>
      <c r="E38" s="2"/>
      <c r="F38" s="2"/>
      <c r="G38" s="2"/>
      <c r="H38" s="2"/>
      <c r="I38" s="2"/>
      <c r="J38" s="2" t="s">
        <v>151</v>
      </c>
      <c r="K38" s="2"/>
      <c r="L38" s="2"/>
      <c r="M38" s="2"/>
      <c r="N38" s="2"/>
      <c r="O38" s="2"/>
      <c r="P38" s="2"/>
      <c r="Q38" s="2"/>
      <c r="R38" s="2"/>
      <c r="S38" s="2"/>
      <c r="T38" s="2"/>
      <c r="U38" s="2"/>
      <c r="AC38" s="15">
        <f t="shared" si="0"/>
        <v>1</v>
      </c>
      <c r="AE38" s="49" t="s">
        <v>255</v>
      </c>
      <c r="AF38" s="45" t="s">
        <v>295</v>
      </c>
      <c r="AG38" s="45" t="s">
        <v>294</v>
      </c>
      <c r="AH38" s="45" t="s">
        <v>295</v>
      </c>
      <c r="AI38" s="45" t="s">
        <v>295</v>
      </c>
      <c r="AJ38" s="45" t="s">
        <v>294</v>
      </c>
      <c r="AK38" s="45" t="s">
        <v>294</v>
      </c>
      <c r="AL38" s="45" t="s">
        <v>295</v>
      </c>
      <c r="AM38" s="45" t="s">
        <v>294</v>
      </c>
      <c r="AN38" s="45" t="s">
        <v>294</v>
      </c>
      <c r="AO38" s="44" t="s">
        <v>295</v>
      </c>
      <c r="AP38" s="45" t="s">
        <v>294</v>
      </c>
      <c r="AQ38" s="45" t="s">
        <v>295</v>
      </c>
      <c r="AR38" s="45" t="s">
        <v>294</v>
      </c>
      <c r="AS38" s="45" t="s">
        <v>294</v>
      </c>
      <c r="AT38" s="45" t="s">
        <v>295</v>
      </c>
      <c r="AU38" s="45" t="s">
        <v>295</v>
      </c>
      <c r="AV38" s="45" t="s">
        <v>294</v>
      </c>
      <c r="AW38" s="45" t="s">
        <v>295</v>
      </c>
      <c r="AX38" s="45" t="s">
        <v>295</v>
      </c>
      <c r="AY38" s="60"/>
      <c r="AZ38" s="45"/>
      <c r="BA38" s="45"/>
      <c r="BB38" s="59"/>
      <c r="BC38" s="2"/>
    </row>
    <row r="39" spans="1:58" x14ac:dyDescent="0.3">
      <c r="A39">
        <v>35</v>
      </c>
      <c r="D39" s="54" t="s">
        <v>285</v>
      </c>
      <c r="E39" s="2"/>
      <c r="F39" s="2"/>
      <c r="G39" s="2"/>
      <c r="H39" s="2"/>
      <c r="I39" s="2"/>
      <c r="J39" s="2" t="s">
        <v>151</v>
      </c>
      <c r="K39" s="2"/>
      <c r="L39" s="2"/>
      <c r="M39" s="2"/>
      <c r="N39" s="2"/>
      <c r="O39" s="2"/>
      <c r="P39" s="2"/>
      <c r="Q39" s="2"/>
      <c r="R39" s="2"/>
      <c r="S39" s="2"/>
      <c r="T39" s="2"/>
      <c r="U39" s="2"/>
      <c r="AC39" s="15">
        <f t="shared" si="0"/>
        <v>1</v>
      </c>
      <c r="AE39" s="50" t="s">
        <v>256</v>
      </c>
      <c r="AF39" s="2" t="s">
        <v>295</v>
      </c>
      <c r="AG39" s="2" t="s">
        <v>248</v>
      </c>
      <c r="AH39" s="2" t="s">
        <v>250</v>
      </c>
      <c r="AI39" s="2" t="s">
        <v>250</v>
      </c>
      <c r="AJ39" s="2" t="s">
        <v>295</v>
      </c>
      <c r="AK39" s="2" t="s">
        <v>295</v>
      </c>
      <c r="AL39" s="2" t="s">
        <v>250</v>
      </c>
      <c r="AM39" s="2" t="s">
        <v>295</v>
      </c>
      <c r="AN39" s="2" t="s">
        <v>250</v>
      </c>
      <c r="AO39" s="56" t="s">
        <v>295</v>
      </c>
      <c r="AP39" s="2" t="s">
        <v>295</v>
      </c>
      <c r="AQ39" s="2" t="s">
        <v>295</v>
      </c>
      <c r="AR39" s="2" t="s">
        <v>295</v>
      </c>
      <c r="AS39" s="2" t="s">
        <v>295</v>
      </c>
      <c r="AT39" s="2" t="s">
        <v>295</v>
      </c>
      <c r="AU39" s="2" t="s">
        <v>250</v>
      </c>
      <c r="AV39" s="2" t="s">
        <v>295</v>
      </c>
      <c r="AW39" s="2" t="s">
        <v>250</v>
      </c>
      <c r="AX39" s="2" t="s">
        <v>250</v>
      </c>
      <c r="AY39" s="61">
        <v>7</v>
      </c>
      <c r="AZ39" s="2">
        <v>1</v>
      </c>
      <c r="BA39" s="2">
        <v>0</v>
      </c>
      <c r="BB39" s="59"/>
      <c r="BC39" s="2"/>
    </row>
    <row r="40" spans="1:58" x14ac:dyDescent="0.3">
      <c r="A40">
        <v>36</v>
      </c>
      <c r="D40" s="54" t="s">
        <v>286</v>
      </c>
      <c r="E40" s="2"/>
      <c r="F40" s="2"/>
      <c r="G40" s="2"/>
      <c r="H40" s="2"/>
      <c r="I40" s="2"/>
      <c r="J40" s="2"/>
      <c r="K40" s="2"/>
      <c r="L40" s="2"/>
      <c r="M40" s="2" t="s">
        <v>151</v>
      </c>
      <c r="N40" s="2"/>
      <c r="O40" s="2"/>
      <c r="P40" s="2"/>
      <c r="Q40" s="2"/>
      <c r="R40" s="2"/>
      <c r="S40" s="2"/>
      <c r="T40" s="2"/>
      <c r="U40" s="2"/>
      <c r="AC40" s="15">
        <f t="shared" si="0"/>
        <v>1</v>
      </c>
      <c r="AE40" s="50" t="s">
        <v>257</v>
      </c>
      <c r="AF40" s="2" t="s">
        <v>295</v>
      </c>
      <c r="AG40" s="2" t="s">
        <v>250</v>
      </c>
      <c r="AH40" s="2" t="s">
        <v>295</v>
      </c>
      <c r="AI40" s="2" t="s">
        <v>295</v>
      </c>
      <c r="AJ40" s="2" t="s">
        <v>295</v>
      </c>
      <c r="AK40" s="2" t="s">
        <v>295</v>
      </c>
      <c r="AL40" s="2" t="s">
        <v>250</v>
      </c>
      <c r="AM40" s="2" t="s">
        <v>250</v>
      </c>
      <c r="AN40" s="2" t="s">
        <v>295</v>
      </c>
      <c r="AO40" s="56" t="s">
        <v>295</v>
      </c>
      <c r="AP40" s="2" t="s">
        <v>248</v>
      </c>
      <c r="AQ40" s="2" t="s">
        <v>295</v>
      </c>
      <c r="AR40" s="2" t="s">
        <v>295</v>
      </c>
      <c r="AS40" s="2" t="s">
        <v>250</v>
      </c>
      <c r="AT40" s="2" t="s">
        <v>295</v>
      </c>
      <c r="AU40" s="2" t="s">
        <v>295</v>
      </c>
      <c r="AV40" s="2" t="s">
        <v>250</v>
      </c>
      <c r="AW40" s="2" t="s">
        <v>295</v>
      </c>
      <c r="AX40" s="2" t="s">
        <v>295</v>
      </c>
      <c r="AY40" s="61">
        <v>5</v>
      </c>
      <c r="AZ40" s="2">
        <v>1</v>
      </c>
      <c r="BA40" s="2">
        <v>0</v>
      </c>
      <c r="BB40" s="59"/>
      <c r="BC40" s="2"/>
    </row>
    <row r="41" spans="1:58" x14ac:dyDescent="0.3">
      <c r="A41">
        <v>37</v>
      </c>
      <c r="D41" s="54" t="s">
        <v>287</v>
      </c>
      <c r="E41" s="2"/>
      <c r="F41" s="2"/>
      <c r="G41" s="2"/>
      <c r="H41" s="2"/>
      <c r="I41" s="2"/>
      <c r="J41" s="2"/>
      <c r="K41" s="2"/>
      <c r="L41" s="2"/>
      <c r="M41" s="2"/>
      <c r="N41" s="2" t="s">
        <v>151</v>
      </c>
      <c r="O41" s="2"/>
      <c r="P41" s="2"/>
      <c r="Q41" s="2"/>
      <c r="R41" s="2"/>
      <c r="S41" s="2"/>
      <c r="T41" s="2"/>
      <c r="U41" s="2"/>
      <c r="AC41" s="15">
        <f t="shared" si="0"/>
        <v>1</v>
      </c>
      <c r="AE41" s="50" t="s">
        <v>296</v>
      </c>
      <c r="AF41" s="2" t="s">
        <v>295</v>
      </c>
      <c r="AG41" s="2" t="s">
        <v>295</v>
      </c>
      <c r="AH41" s="2" t="s">
        <v>295</v>
      </c>
      <c r="AI41" s="2" t="s">
        <v>250</v>
      </c>
      <c r="AJ41" s="2" t="s">
        <v>295</v>
      </c>
      <c r="AK41" s="2" t="s">
        <v>250</v>
      </c>
      <c r="AL41" s="2" t="s">
        <v>295</v>
      </c>
      <c r="AM41" s="2" t="s">
        <v>295</v>
      </c>
      <c r="AN41" s="2" t="s">
        <v>295</v>
      </c>
      <c r="AO41" s="56" t="s">
        <v>295</v>
      </c>
      <c r="AP41" s="2" t="s">
        <v>295</v>
      </c>
      <c r="AQ41" s="2" t="s">
        <v>295</v>
      </c>
      <c r="AR41" s="2" t="s">
        <v>295</v>
      </c>
      <c r="AS41" s="2" t="s">
        <v>250</v>
      </c>
      <c r="AT41" s="2" t="s">
        <v>295</v>
      </c>
      <c r="AU41" s="2" t="s">
        <v>295</v>
      </c>
      <c r="AV41" s="2" t="s">
        <v>250</v>
      </c>
      <c r="AW41" s="2" t="s">
        <v>295</v>
      </c>
      <c r="AX41" s="2" t="s">
        <v>250</v>
      </c>
      <c r="AY41" s="61">
        <v>5</v>
      </c>
      <c r="AZ41" s="2">
        <v>0</v>
      </c>
      <c r="BA41" s="2">
        <v>0</v>
      </c>
      <c r="BB41" s="59"/>
      <c r="BC41" s="2"/>
    </row>
    <row r="42" spans="1:58" x14ac:dyDescent="0.3">
      <c r="A42">
        <v>38</v>
      </c>
      <c r="D42" s="54" t="s">
        <v>288</v>
      </c>
      <c r="E42" s="2"/>
      <c r="F42" s="2"/>
      <c r="G42" s="2"/>
      <c r="H42" s="2"/>
      <c r="I42" s="2"/>
      <c r="J42" s="2"/>
      <c r="K42" s="2"/>
      <c r="L42" s="2"/>
      <c r="M42" s="2"/>
      <c r="N42" s="2"/>
      <c r="O42" s="2" t="s">
        <v>151</v>
      </c>
      <c r="P42" s="2"/>
      <c r="Q42" s="2"/>
      <c r="R42" s="2"/>
      <c r="S42" s="2"/>
      <c r="T42" s="2"/>
      <c r="U42" s="2"/>
      <c r="AC42" s="15">
        <f t="shared" si="0"/>
        <v>1</v>
      </c>
      <c r="AE42" s="50" t="s">
        <v>291</v>
      </c>
      <c r="AF42" s="41" t="s">
        <v>250</v>
      </c>
      <c r="AG42" s="2" t="s">
        <v>295</v>
      </c>
      <c r="AH42" s="2" t="s">
        <v>250</v>
      </c>
      <c r="AI42" s="2" t="s">
        <v>295</v>
      </c>
      <c r="AJ42" s="2" t="s">
        <v>295</v>
      </c>
      <c r="AK42" s="2" t="s">
        <v>295</v>
      </c>
      <c r="AL42" s="2" t="s">
        <v>250</v>
      </c>
      <c r="AM42" s="2" t="s">
        <v>295</v>
      </c>
      <c r="AN42" s="2" t="s">
        <v>295</v>
      </c>
      <c r="AO42" s="56" t="s">
        <v>295</v>
      </c>
      <c r="AP42" s="2" t="s">
        <v>250</v>
      </c>
      <c r="AQ42" s="2" t="s">
        <v>295</v>
      </c>
      <c r="AR42" s="2" t="s">
        <v>295</v>
      </c>
      <c r="AS42" s="2" t="s">
        <v>295</v>
      </c>
      <c r="AT42" s="2" t="s">
        <v>295</v>
      </c>
      <c r="AU42" s="2" t="s">
        <v>295</v>
      </c>
      <c r="AV42" s="2" t="s">
        <v>295</v>
      </c>
      <c r="AW42" s="2" t="s">
        <v>295</v>
      </c>
      <c r="AX42" s="2" t="s">
        <v>295</v>
      </c>
      <c r="AY42" s="61">
        <v>4</v>
      </c>
      <c r="AZ42" s="2">
        <v>0</v>
      </c>
      <c r="BA42" s="2">
        <v>0</v>
      </c>
      <c r="BB42" s="59"/>
      <c r="BC42" s="2"/>
    </row>
    <row r="43" spans="1:58" x14ac:dyDescent="0.3">
      <c r="A43">
        <v>39</v>
      </c>
      <c r="D43" s="54" t="s">
        <v>289</v>
      </c>
      <c r="E43" s="2"/>
      <c r="F43" s="2"/>
      <c r="G43" s="2"/>
      <c r="H43" s="2"/>
      <c r="I43" s="2"/>
      <c r="J43" s="2"/>
      <c r="K43" s="2"/>
      <c r="L43" s="2"/>
      <c r="M43" s="2"/>
      <c r="N43" s="2"/>
      <c r="O43" s="2"/>
      <c r="P43" s="2" t="s">
        <v>151</v>
      </c>
      <c r="Q43" s="2"/>
      <c r="R43" s="2"/>
      <c r="S43" s="2"/>
      <c r="T43" s="2"/>
      <c r="U43" s="2"/>
      <c r="AC43" s="15">
        <f t="shared" si="0"/>
        <v>1</v>
      </c>
      <c r="AE43" s="66"/>
      <c r="AF43" s="67"/>
      <c r="AG43" s="12"/>
      <c r="AH43" s="12"/>
      <c r="AI43" s="12"/>
      <c r="AJ43" s="12"/>
      <c r="AK43" s="12"/>
      <c r="AL43" s="12"/>
      <c r="AM43" s="12"/>
      <c r="AN43" s="12"/>
      <c r="AO43" s="68"/>
      <c r="AP43" s="12"/>
      <c r="AQ43" s="12"/>
      <c r="AR43" s="12"/>
      <c r="AS43" s="12"/>
      <c r="AT43" s="12"/>
      <c r="AU43" s="12"/>
      <c r="AV43" s="12"/>
      <c r="AW43" s="12"/>
      <c r="AX43" s="12"/>
      <c r="AY43" s="67"/>
      <c r="AZ43" s="12"/>
      <c r="BA43" s="69"/>
      <c r="BB43" s="59"/>
      <c r="BC43" s="2"/>
    </row>
    <row r="44" spans="1:58" x14ac:dyDescent="0.3">
      <c r="A44">
        <v>40</v>
      </c>
      <c r="D44" s="48" t="s">
        <v>290</v>
      </c>
      <c r="E44" s="9"/>
      <c r="F44" s="9"/>
      <c r="G44" s="9"/>
      <c r="H44" s="9"/>
      <c r="I44" s="9"/>
      <c r="J44" s="9"/>
      <c r="K44" s="9"/>
      <c r="L44" s="9"/>
      <c r="M44" s="9"/>
      <c r="N44" s="9"/>
      <c r="O44" s="9"/>
      <c r="P44" s="9"/>
      <c r="Q44" s="9"/>
      <c r="R44" s="9"/>
      <c r="S44" s="9"/>
      <c r="T44" s="9" t="s">
        <v>151</v>
      </c>
      <c r="U44" s="9"/>
      <c r="V44" s="11"/>
      <c r="W44" s="11"/>
      <c r="X44" s="11"/>
      <c r="Y44" s="11"/>
      <c r="Z44" s="11"/>
      <c r="AA44" s="11"/>
      <c r="AB44" s="11"/>
      <c r="AC44" s="16">
        <f t="shared" si="0"/>
        <v>1</v>
      </c>
    </row>
    <row r="45" spans="1:58" x14ac:dyDescent="0.3">
      <c r="D45" s="55"/>
      <c r="E45" s="2"/>
      <c r="F45" s="2"/>
      <c r="G45" s="2"/>
      <c r="H45" s="2"/>
      <c r="I45" s="2"/>
      <c r="J45" s="2"/>
      <c r="K45" s="2"/>
      <c r="L45" s="2"/>
      <c r="M45" s="2"/>
      <c r="N45" s="2"/>
      <c r="O45" s="2"/>
      <c r="P45" s="2"/>
      <c r="Q45" s="2"/>
      <c r="R45" s="2"/>
      <c r="S45" s="2"/>
      <c r="T45" s="2"/>
      <c r="U45" s="2"/>
    </row>
    <row r="46" spans="1:58" x14ac:dyDescent="0.3">
      <c r="D46" s="55"/>
      <c r="E46" s="2"/>
      <c r="F46" s="2"/>
      <c r="G46" s="2"/>
      <c r="H46" s="2"/>
      <c r="I46" s="2"/>
      <c r="J46" s="2"/>
      <c r="K46" s="2"/>
      <c r="L46" s="2"/>
      <c r="M46" s="2"/>
      <c r="N46" s="2"/>
      <c r="O46" s="2"/>
      <c r="P46" s="2"/>
      <c r="Q46" s="2"/>
      <c r="R46" s="2"/>
      <c r="S46" s="2"/>
      <c r="T46" s="2"/>
      <c r="U46" s="2"/>
    </row>
    <row r="47" spans="1:58" x14ac:dyDescent="0.3">
      <c r="E47" s="2"/>
      <c r="F47" s="2"/>
      <c r="G47" s="2"/>
      <c r="H47" s="2"/>
      <c r="I47" s="2"/>
      <c r="J47" s="2"/>
      <c r="K47" s="2"/>
      <c r="L47" s="2"/>
      <c r="M47" s="2"/>
      <c r="N47" s="2"/>
      <c r="O47" s="2"/>
      <c r="P47" s="2"/>
      <c r="Q47" s="2"/>
      <c r="R47" s="2"/>
      <c r="S47" s="2"/>
      <c r="T47" s="2"/>
      <c r="U47" s="2"/>
    </row>
  </sheetData>
  <sortState xmlns:xlrd2="http://schemas.microsoft.com/office/spreadsheetml/2017/richdata2" ref="D5:AC46">
    <sortCondition descending="1" ref="AC5:AC46"/>
  </sortState>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matrix</vt:lpstr>
      <vt:lpstr>frequency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Shafina Ghazani Erlangga</dc:creator>
  <cp:lastModifiedBy>Shafina Ghazani Erlangga</cp:lastModifiedBy>
  <dcterms:created xsi:type="dcterms:W3CDTF">2022-09-29T13:29:21Z</dcterms:created>
  <dcterms:modified xsi:type="dcterms:W3CDTF">2026-01-07T12:59:44Z</dcterms:modified>
</cp:coreProperties>
</file>